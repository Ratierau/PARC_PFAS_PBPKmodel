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customXml/itemProps1.xml" ContentType="application/vnd.openxmlformats-officedocument.customXmlProperties+xml"/>
  <Override PartName="/customXml/itemProps2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531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dpjio\Desktop\NTUA Post-Doc\PBK models-Evie\PFOA Inhalation\Data\De Silva et al., 2009\"/>
    </mc:Choice>
  </mc:AlternateContent>
  <xr:revisionPtr revIDLastSave="0" documentId="13_ncr:1_{2D8918D6-3EBF-46A5-8BF4-352845EA4967}" xr6:coauthVersionLast="47" xr6:coauthVersionMax="47" xr10:uidLastSave="{00000000-0000-0000-0000-000000000000}"/>
  <bookViews>
    <workbookView xWindow="-17850" yWindow="1485" windowWidth="15960" windowHeight="11235" activeTab="1" xr2:uid="{00000000-000D-0000-FFFF-FFFF00000000}"/>
  </bookViews>
  <sheets>
    <sheet name="Sheet1" sheetId="1" r:id="rId1"/>
    <sheet name="Sheet2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5" i="2" l="1"/>
  <c r="B16" i="2"/>
  <c r="B17" i="2"/>
  <c r="B18" i="2"/>
  <c r="B19" i="2"/>
  <c r="B20" i="2"/>
  <c r="B21" i="2"/>
  <c r="B22" i="2"/>
  <c r="B23" i="2"/>
  <c r="B24" i="2"/>
  <c r="B25" i="2"/>
  <c r="B26" i="2"/>
  <c r="B27" i="2"/>
  <c r="D10" i="2"/>
  <c r="B10" i="2"/>
</calcChain>
</file>

<file path=xl/sharedStrings.xml><?xml version="1.0" encoding="utf-8"?>
<sst xmlns="http://schemas.openxmlformats.org/spreadsheetml/2006/main" count="43" uniqueCount="19">
  <si>
    <t>Dose_mg_per_kg</t>
  </si>
  <si>
    <t>Type</t>
  </si>
  <si>
    <t>oral</t>
  </si>
  <si>
    <t>Time_h</t>
  </si>
  <si>
    <t>Tissue</t>
  </si>
  <si>
    <t>Blood</t>
  </si>
  <si>
    <t>bw(kg)</t>
  </si>
  <si>
    <t>day_2</t>
  </si>
  <si>
    <t>day_3</t>
  </si>
  <si>
    <t>day_4</t>
  </si>
  <si>
    <t>day_35</t>
  </si>
  <si>
    <t>mean</t>
  </si>
  <si>
    <t>Daily dose (mg/kg/d)</t>
  </si>
  <si>
    <t>repeated</t>
  </si>
  <si>
    <t>Concentration_ng/g</t>
  </si>
  <si>
    <t>Day</t>
  </si>
  <si>
    <t>h</t>
  </si>
  <si>
    <t>12-week treatment</t>
  </si>
  <si>
    <t>male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</si>
</sst>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"/>
  </numFmts>
  <fonts count="3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charset val="161"/>
      <scheme val="minor"/>
    </font>
    <font>
      <b/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0" fontId="0" fillId="0" borderId="0" xfId="0" applyAlignment="1">
      <alignment horizontal="center"/>
    </xf>
    <xf numFmtId="0" fontId="1" fillId="0" borderId="0" xfId="0" applyFont="1" applyAlignment="1">
      <alignment horizontal="center"/>
    </xf>
    <xf numFmtId="2" fontId="0" fillId="0" borderId="0" xfId="0" applyNumberFormat="1" applyAlignment="1">
      <alignment horizontal="center"/>
    </xf>
    <xf numFmtId="0" fontId="2" fillId="0" borderId="0" xfId="0" applyFont="1"/>
    <xf numFmtId="164" fontId="0" fillId="0" borderId="0" xfId="0" applyNumberFormat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2.xml"/><Relationship Id="rId3" Type="http://schemas.openxmlformats.org/officeDocument/2006/relationships/theme" Target="theme/theme1.xml"/><Relationship Id="rId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E24"/>
  <sheetViews>
    <sheetView workbookViewId="0">
      <selection activeCell="B5" sqref="B5"/>
    </sheetView>
  </sheetViews>
  <sheetFormatPr defaultRowHeight="14.4" x14ac:dyDescent="0.3"/>
  <cols>
    <col min="2" max="2" width="16.21875" customWidth="1"/>
    <col min="3" max="3" width="30.88671875" customWidth="1"/>
    <col min="4" max="4" width="25.6640625" customWidth="1"/>
    <col min="5" max="5" width="21.88671875" customWidth="1"/>
  </cols>
  <sheetData>
    <row r="1" spans="1:5" x14ac:dyDescent="0.3">
      <c r="A1" t="s">
        <v>4</v>
      </c>
      <c r="B1" s="2" t="s">
        <v>3</v>
      </c>
      <c r="C1" s="2" t="s">
        <v>14</v>
      </c>
      <c r="D1" s="2" t="s">
        <v>0</v>
      </c>
      <c r="E1" s="2" t="s">
        <v>1</v>
      </c>
    </row>
    <row r="2" spans="1:5" x14ac:dyDescent="0.3">
      <c r="A2" t="s">
        <v>5</v>
      </c>
      <c r="B2" s="1">
        <v>48</v>
      </c>
      <c r="C2" s="1">
        <v>128</v>
      </c>
      <c r="D2" s="1">
        <v>2.1999999999999999E-2</v>
      </c>
      <c r="E2" s="1" t="s">
        <v>2</v>
      </c>
    </row>
    <row r="3" spans="1:5" x14ac:dyDescent="0.3">
      <c r="A3" t="s">
        <v>5</v>
      </c>
      <c r="B3" s="1">
        <v>96</v>
      </c>
      <c r="C3" s="1">
        <v>280</v>
      </c>
      <c r="D3" s="1">
        <v>2.1999999999999999E-2</v>
      </c>
      <c r="E3" s="1" t="s">
        <v>2</v>
      </c>
    </row>
    <row r="4" spans="1:5" x14ac:dyDescent="0.3">
      <c r="A4" t="s">
        <v>5</v>
      </c>
      <c r="B4" s="1">
        <v>120</v>
      </c>
      <c r="C4" s="1">
        <v>173</v>
      </c>
      <c r="D4" s="1">
        <v>2.1999999999999999E-2</v>
      </c>
      <c r="E4" s="1" t="s">
        <v>2</v>
      </c>
    </row>
    <row r="5" spans="1:5" x14ac:dyDescent="0.3">
      <c r="A5" t="s">
        <v>5</v>
      </c>
      <c r="B5" s="1">
        <v>192</v>
      </c>
      <c r="C5" s="1">
        <v>443</v>
      </c>
      <c r="D5" s="1">
        <v>2.1999999999999999E-2</v>
      </c>
      <c r="E5" s="1" t="s">
        <v>2</v>
      </c>
    </row>
    <row r="6" spans="1:5" x14ac:dyDescent="0.3">
      <c r="A6" t="s">
        <v>5</v>
      </c>
      <c r="B6" s="1">
        <v>264</v>
      </c>
      <c r="C6" s="1">
        <v>324</v>
      </c>
      <c r="D6" s="1">
        <v>2.1999999999999999E-2</v>
      </c>
      <c r="E6" s="1" t="s">
        <v>2</v>
      </c>
    </row>
    <row r="7" spans="1:5" x14ac:dyDescent="0.3">
      <c r="A7" t="s">
        <v>5</v>
      </c>
      <c r="B7" s="1">
        <v>408</v>
      </c>
      <c r="C7" s="1">
        <v>474</v>
      </c>
      <c r="D7" s="1">
        <v>2.1999999999999999E-2</v>
      </c>
      <c r="E7" s="1" t="s">
        <v>2</v>
      </c>
    </row>
    <row r="8" spans="1:5" x14ac:dyDescent="0.3">
      <c r="A8" t="s">
        <v>5</v>
      </c>
      <c r="B8" s="1">
        <v>528</v>
      </c>
      <c r="C8" s="1">
        <v>934</v>
      </c>
      <c r="D8" s="1">
        <v>2.1999999999999999E-2</v>
      </c>
      <c r="E8" s="1" t="s">
        <v>2</v>
      </c>
    </row>
    <row r="9" spans="1:5" x14ac:dyDescent="0.3">
      <c r="A9" t="s">
        <v>5</v>
      </c>
      <c r="B9" s="1">
        <v>768</v>
      </c>
      <c r="C9" s="1">
        <v>786</v>
      </c>
      <c r="D9" s="1">
        <v>2.1999999999999999E-2</v>
      </c>
      <c r="E9" s="1" t="s">
        <v>2</v>
      </c>
    </row>
    <row r="10" spans="1:5" x14ac:dyDescent="0.3">
      <c r="A10" t="s">
        <v>5</v>
      </c>
      <c r="B10" s="1">
        <v>912</v>
      </c>
      <c r="C10" s="1">
        <v>966</v>
      </c>
      <c r="D10" s="1">
        <v>2.1999999999999999E-2</v>
      </c>
      <c r="E10" s="1" t="s">
        <v>2</v>
      </c>
    </row>
    <row r="11" spans="1:5" x14ac:dyDescent="0.3">
      <c r="A11" t="s">
        <v>5</v>
      </c>
      <c r="B11" s="1">
        <v>1200</v>
      </c>
      <c r="C11" s="1">
        <v>1040</v>
      </c>
      <c r="D11" s="1">
        <v>2.1999999999999999E-2</v>
      </c>
      <c r="E11" s="1" t="s">
        <v>2</v>
      </c>
    </row>
    <row r="12" spans="1:5" x14ac:dyDescent="0.3">
      <c r="A12" t="s">
        <v>5</v>
      </c>
      <c r="B12" s="1">
        <v>1368</v>
      </c>
      <c r="C12" s="1">
        <v>800</v>
      </c>
      <c r="D12" s="1">
        <v>2.1999999999999999E-2</v>
      </c>
      <c r="E12" s="1" t="s">
        <v>2</v>
      </c>
    </row>
    <row r="13" spans="1:5" x14ac:dyDescent="0.3">
      <c r="A13" t="s">
        <v>5</v>
      </c>
      <c r="B13" s="1">
        <v>1728</v>
      </c>
      <c r="C13" s="1">
        <v>850</v>
      </c>
      <c r="D13" s="1">
        <v>2.1999999999999999E-2</v>
      </c>
      <c r="E13" s="1" t="s">
        <v>2</v>
      </c>
    </row>
    <row r="14" spans="1:5" x14ac:dyDescent="0.3">
      <c r="A14" t="s">
        <v>5</v>
      </c>
      <c r="B14" s="1">
        <v>2016</v>
      </c>
      <c r="C14" s="1">
        <v>631</v>
      </c>
      <c r="D14" s="1">
        <v>2.1999999999999999E-2</v>
      </c>
      <c r="E14" s="1" t="s">
        <v>2</v>
      </c>
    </row>
    <row r="15" spans="1:5" x14ac:dyDescent="0.3">
      <c r="B15" s="1"/>
      <c r="C15" s="1"/>
      <c r="D15" s="1"/>
      <c r="E15" s="1"/>
    </row>
    <row r="16" spans="1:5" x14ac:dyDescent="0.3">
      <c r="B16" s="1"/>
      <c r="C16" s="1"/>
      <c r="D16" s="1"/>
      <c r="E16" s="1"/>
    </row>
    <row r="17" spans="2:5" x14ac:dyDescent="0.3">
      <c r="B17" s="1"/>
      <c r="C17" s="1"/>
      <c r="D17" s="1"/>
      <c r="E17" s="1"/>
    </row>
    <row r="18" spans="2:5" x14ac:dyDescent="0.3">
      <c r="B18" s="1"/>
      <c r="C18" s="1"/>
      <c r="D18" s="1"/>
      <c r="E18" s="1"/>
    </row>
    <row r="19" spans="2:5" x14ac:dyDescent="0.3">
      <c r="B19" s="1"/>
      <c r="C19" s="1"/>
      <c r="D19" s="1"/>
      <c r="E19" s="1"/>
    </row>
    <row r="20" spans="2:5" x14ac:dyDescent="0.3">
      <c r="B20" s="1"/>
      <c r="C20" s="1"/>
      <c r="D20" s="1"/>
      <c r="E20" s="1"/>
    </row>
    <row r="21" spans="2:5" x14ac:dyDescent="0.3">
      <c r="B21" s="1"/>
      <c r="C21" s="1"/>
      <c r="D21" s="1"/>
      <c r="E21" s="1"/>
    </row>
    <row r="22" spans="2:5" x14ac:dyDescent="0.3">
      <c r="B22" s="1"/>
      <c r="C22" s="1"/>
      <c r="D22" s="1"/>
      <c r="E22" s="1"/>
    </row>
    <row r="23" spans="2:5" x14ac:dyDescent="0.3">
      <c r="B23" s="1"/>
      <c r="C23" s="1"/>
      <c r="D23" s="1"/>
      <c r="E23" s="1"/>
    </row>
    <row r="24" spans="2:5" x14ac:dyDescent="0.3">
      <c r="B24" s="1"/>
      <c r="C24" s="1"/>
      <c r="D24" s="1"/>
      <c r="E24" s="1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5108C4-6E7C-4208-971B-9A93DA375256}">
  <dimension ref="A1:E27"/>
  <sheetViews>
    <sheetView tabSelected="1" workbookViewId="0">
      <selection activeCell="G13" sqref="G13"/>
    </sheetView>
  </sheetViews>
  <sheetFormatPr defaultRowHeight="14.4" x14ac:dyDescent="0.3"/>
  <cols>
    <col min="4" max="4" width="19" bestFit="1" customWidth="1"/>
    <col min="5" max="5" width="16.77734375" bestFit="1" customWidth="1"/>
  </cols>
  <sheetData>
    <row r="1" spans="1:5" x14ac:dyDescent="0.3">
      <c r="A1" s="4" t="s">
        <v>13</v>
      </c>
    </row>
    <row r="2" spans="1:5" x14ac:dyDescent="0.3">
      <c r="A2" s="4" t="s">
        <v>18</v>
      </c>
    </row>
    <row r="3" spans="1:5" x14ac:dyDescent="0.3">
      <c r="A3" s="4" t="s">
        <v>6</v>
      </c>
      <c r="B3" s="4">
        <v>0.39</v>
      </c>
      <c r="D3" t="s">
        <v>12</v>
      </c>
      <c r="E3" t="s">
        <v>17</v>
      </c>
    </row>
    <row r="5" spans="1:5" x14ac:dyDescent="0.3">
      <c r="A5" t="s">
        <v>7</v>
      </c>
      <c r="B5" s="1">
        <v>0.374</v>
      </c>
      <c r="D5" s="1">
        <v>2.1999999999999999E-2</v>
      </c>
    </row>
    <row r="6" spans="1:5" x14ac:dyDescent="0.3">
      <c r="A6" t="s">
        <v>8</v>
      </c>
      <c r="B6" s="1">
        <v>0.39200000000000002</v>
      </c>
      <c r="D6" s="1">
        <v>2.1000000000000001E-2</v>
      </c>
    </row>
    <row r="7" spans="1:5" x14ac:dyDescent="0.3">
      <c r="A7" t="s">
        <v>9</v>
      </c>
      <c r="B7" s="1">
        <v>0.377</v>
      </c>
      <c r="D7" s="1">
        <v>0.02</v>
      </c>
    </row>
    <row r="8" spans="1:5" x14ac:dyDescent="0.3">
      <c r="A8" t="s">
        <v>10</v>
      </c>
      <c r="B8" s="1">
        <v>0.41399999999999998</v>
      </c>
      <c r="D8" s="1">
        <v>2.5000000000000001E-2</v>
      </c>
    </row>
    <row r="9" spans="1:5" x14ac:dyDescent="0.3">
      <c r="B9" s="1"/>
      <c r="D9" s="1"/>
    </row>
    <row r="10" spans="1:5" x14ac:dyDescent="0.3">
      <c r="A10" t="s">
        <v>11</v>
      </c>
      <c r="B10" s="3">
        <f>AVERAGE(B5:B8)</f>
        <v>0.38924999999999998</v>
      </c>
      <c r="D10" s="5">
        <f>AVERAGE(D5:D8)</f>
        <v>2.1999999999999999E-2</v>
      </c>
    </row>
    <row r="11" spans="1:5" x14ac:dyDescent="0.3">
      <c r="D11" s="1"/>
    </row>
    <row r="13" spans="1:5" x14ac:dyDescent="0.3">
      <c r="A13" s="2" t="s">
        <v>15</v>
      </c>
      <c r="B13" s="2" t="s">
        <v>16</v>
      </c>
    </row>
    <row r="15" spans="1:5" x14ac:dyDescent="0.3">
      <c r="A15">
        <v>2</v>
      </c>
      <c r="B15">
        <f t="shared" ref="B15:B27" si="0">A15*24</f>
        <v>48</v>
      </c>
    </row>
    <row r="16" spans="1:5" x14ac:dyDescent="0.3">
      <c r="A16">
        <v>4</v>
      </c>
      <c r="B16">
        <f t="shared" si="0"/>
        <v>96</v>
      </c>
    </row>
    <row r="17" spans="1:2" x14ac:dyDescent="0.3">
      <c r="A17">
        <v>5</v>
      </c>
      <c r="B17">
        <f t="shared" si="0"/>
        <v>120</v>
      </c>
    </row>
    <row r="18" spans="1:2" x14ac:dyDescent="0.3">
      <c r="A18">
        <v>8</v>
      </c>
      <c r="B18">
        <f t="shared" si="0"/>
        <v>192</v>
      </c>
    </row>
    <row r="19" spans="1:2" x14ac:dyDescent="0.3">
      <c r="A19">
        <v>11</v>
      </c>
      <c r="B19">
        <f t="shared" si="0"/>
        <v>264</v>
      </c>
    </row>
    <row r="20" spans="1:2" x14ac:dyDescent="0.3">
      <c r="A20">
        <v>17</v>
      </c>
      <c r="B20">
        <f t="shared" si="0"/>
        <v>408</v>
      </c>
    </row>
    <row r="21" spans="1:2" x14ac:dyDescent="0.3">
      <c r="A21">
        <v>22</v>
      </c>
      <c r="B21">
        <f t="shared" si="0"/>
        <v>528</v>
      </c>
    </row>
    <row r="22" spans="1:2" x14ac:dyDescent="0.3">
      <c r="A22">
        <v>32</v>
      </c>
      <c r="B22">
        <f t="shared" si="0"/>
        <v>768</v>
      </c>
    </row>
    <row r="23" spans="1:2" x14ac:dyDescent="0.3">
      <c r="A23">
        <v>38</v>
      </c>
      <c r="B23">
        <f t="shared" si="0"/>
        <v>912</v>
      </c>
    </row>
    <row r="24" spans="1:2" x14ac:dyDescent="0.3">
      <c r="A24">
        <v>50</v>
      </c>
      <c r="B24">
        <f t="shared" si="0"/>
        <v>1200</v>
      </c>
    </row>
    <row r="25" spans="1:2" x14ac:dyDescent="0.3">
      <c r="A25">
        <v>57</v>
      </c>
      <c r="B25">
        <f t="shared" si="0"/>
        <v>1368</v>
      </c>
    </row>
    <row r="26" spans="1:2" x14ac:dyDescent="0.3">
      <c r="A26">
        <v>72</v>
      </c>
      <c r="B26">
        <f t="shared" si="0"/>
        <v>1728</v>
      </c>
    </row>
    <row r="27" spans="1:2" x14ac:dyDescent="0.3">
      <c r="A27">
        <v>84</v>
      </c>
      <c r="B27">
        <f t="shared" si="0"/>
        <v>2016</v>
      </c>
    </row>
  </sheetData>
  <pageMargins left="0.7" right="0.7" top="0.75" bottom="0.75" header="0.3" footer="0.3"/>
  <pageSetup paperSize="9" orientation="portrait" horizontalDpi="360" verticalDpi="360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2AA8BEAC825CAE4DA772B4C276EF423C" ma:contentTypeVersion="12" ma:contentTypeDescription="Create a new document." ma:contentTypeScope="" ma:versionID="5e03e074850d6c738b9d1fc41fb3a339">
  <xsd:schema xmlns:xsd="http://www.w3.org/2001/XMLSchema" xmlns:xs="http://www.w3.org/2001/XMLSchema" xmlns:p="http://schemas.microsoft.com/office/2006/metadata/properties" xmlns:ns2="568ff3df-f16a-482d-bb3c-58af1efa1658" xmlns:ns3="13cea704-446d-46be-be94-9e10425fef80" targetNamespace="http://schemas.microsoft.com/office/2006/metadata/properties" ma:root="true" ma:fieldsID="54949abb9ca0b8b43f171cb19b04d06d" ns2:_="" ns3:_="">
    <xsd:import namespace="568ff3df-f16a-482d-bb3c-58af1efa1658"/>
    <xsd:import namespace="13cea704-446d-46be-be94-9e10425fef80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lcf76f155ced4ddcb4097134ff3c332f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DateTaken" minOccurs="0"/>
                <xsd:element ref="ns2:MediaServiceObjectDetectorVersions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68ff3df-f16a-482d-bb3c-58af1efa1658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1" nillable="true" ma:taxonomy="true" ma:internalName="lcf76f155ced4ddcb4097134ff3c332f" ma:taxonomyFieldName="MediaServiceImageTags" ma:displayName="Image Tags" ma:readOnly="false" ma:fieldId="{5cf76f15-5ced-4ddc-b409-7134ff3c332f}" ma:taxonomyMulti="true" ma:sspId="5ec99919-4982-4388-8a64-83a11d2ca210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2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3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4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DateTaken" ma:index="17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13cea704-446d-46be-be94-9e10425fef80" elementFormDefault="qualified">
    <xsd:import namespace="http://schemas.microsoft.com/office/2006/documentManagement/types"/>
    <xsd:import namespace="http://schemas.microsoft.com/office/infopath/2007/PartnerControls"/>
    <xsd:element name="SharedWithUsers" ma:index="15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6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0695FDF6-C7C3-467A-8BB7-6406558A1929}"/>
</file>

<file path=customXml/itemProps2.xml><?xml version="1.0" encoding="utf-8"?>
<ds:datastoreItem xmlns:ds="http://schemas.openxmlformats.org/officeDocument/2006/customXml" ds:itemID="{37504951-DA2D-406E-8410-9362AF284EC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Paraskevi Papakyriakopoulou</dc:creator>
  <cp:lastModifiedBy>Paraskevi Papakyriakopoulou</cp:lastModifiedBy>
  <dcterms:created xsi:type="dcterms:W3CDTF">2024-03-28T19:07:44Z</dcterms:created>
  <dcterms:modified xsi:type="dcterms:W3CDTF">2024-05-22T13:01:22Z</dcterms:modified>
</cp:coreProperties>
</file>
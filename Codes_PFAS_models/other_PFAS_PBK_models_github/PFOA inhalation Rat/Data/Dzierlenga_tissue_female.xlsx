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9E5D211C-F6B8-4145-9543-0F94DE77991A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erum_m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2" i="1"/>
</calcChain>
</file>

<file path=xl/sharedStrings.xml><?xml version="1.0" encoding="utf-8"?>
<sst xmlns="http://schemas.openxmlformats.org/spreadsheetml/2006/main" count="37" uniqueCount="15">
  <si>
    <t>Tissue</t>
  </si>
  <si>
    <t>Liver</t>
  </si>
  <si>
    <t>Kidneys</t>
  </si>
  <si>
    <t>Brain</t>
  </si>
  <si>
    <t>Time_hours</t>
  </si>
  <si>
    <t>Mass_microM</t>
  </si>
  <si>
    <t>Concentration_microg_per_g_organ</t>
  </si>
  <si>
    <t>MW (g/mol)</t>
  </si>
  <si>
    <t>BW (kg)</t>
  </si>
  <si>
    <t>VLT (kg=L)</t>
  </si>
  <si>
    <t>VKT  (kg=L)</t>
  </si>
  <si>
    <t>VBrT  (kg=L)</t>
  </si>
  <si>
    <t>Dose_mg_per_kg</t>
  </si>
  <si>
    <t>Type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</si>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</sst>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N27" sqref="N27"/>
    </sheetView>
  </sheetViews>
  <sheetFormatPr defaultRowHeight="14.4" x14ac:dyDescent="0.3"/>
  <cols>
    <col min="2" max="2" width="15.5546875" customWidth="1"/>
    <col min="3" max="3" width="12.88671875" bestFit="1" customWidth="1"/>
    <col min="4" max="4" width="15.77734375" bestFit="1" customWidth="1"/>
    <col min="5" max="5" width="14.88671875" customWidth="1"/>
    <col min="8" max="8" width="32.33203125" bestFit="1" customWidth="1"/>
    <col min="10" max="10" width="11.6640625" bestFit="1" customWidth="1"/>
    <col min="11" max="11" width="12" bestFit="1" customWidth="1"/>
  </cols>
  <sheetData>
    <row r="1" spans="1:14" x14ac:dyDescent="0.3">
      <c r="A1" s="4" t="s">
        <v>0</v>
      </c>
      <c r="B1" s="4" t="s">
        <v>4</v>
      </c>
      <c r="C1" s="4" t="s">
        <v>5</v>
      </c>
      <c r="D1" s="5" t="s">
        <v>12</v>
      </c>
      <c r="E1" s="4" t="s">
        <v>13</v>
      </c>
      <c r="H1" s="1" t="s">
        <v>6</v>
      </c>
      <c r="J1" s="2" t="s">
        <v>7</v>
      </c>
      <c r="K1">
        <v>414.07</v>
      </c>
      <c r="M1" t="s">
        <v>8</v>
      </c>
      <c r="N1">
        <v>0.25</v>
      </c>
    </row>
    <row r="2" spans="1:14" x14ac:dyDescent="0.3">
      <c r="A2" s="4" t="s">
        <v>1</v>
      </c>
      <c r="B2" s="4">
        <v>3</v>
      </c>
      <c r="C2" s="4">
        <v>184.05307590000001</v>
      </c>
      <c r="D2" s="4">
        <v>80</v>
      </c>
      <c r="E2" s="4" t="s">
        <v>14</v>
      </c>
      <c r="H2" s="3">
        <f>C2*K$1/1000</f>
        <v>76.210857137912996</v>
      </c>
      <c r="J2" s="2" t="s">
        <v>9</v>
      </c>
      <c r="K2">
        <v>8.70165E-3</v>
      </c>
    </row>
    <row r="3" spans="1:14" x14ac:dyDescent="0.3">
      <c r="A3" s="4" t="s">
        <v>1</v>
      </c>
      <c r="B3" s="4">
        <v>6</v>
      </c>
      <c r="C3" s="4">
        <v>393.0977226</v>
      </c>
      <c r="D3" s="4">
        <v>80</v>
      </c>
      <c r="E3" s="4" t="s">
        <v>14</v>
      </c>
      <c r="H3" s="3">
        <f t="shared" ref="H3:H18" si="0">C3*K$1/1000</f>
        <v>162.769973996982</v>
      </c>
      <c r="J3" s="2" t="s">
        <v>10</v>
      </c>
      <c r="K3">
        <v>1.29575E-3</v>
      </c>
    </row>
    <row r="4" spans="1:14" x14ac:dyDescent="0.3">
      <c r="A4" s="4" t="s">
        <v>1</v>
      </c>
      <c r="B4" s="4">
        <v>9</v>
      </c>
      <c r="C4" s="4">
        <v>141.7881285</v>
      </c>
      <c r="D4" s="4">
        <v>80</v>
      </c>
      <c r="E4" s="4" t="s">
        <v>14</v>
      </c>
      <c r="H4" s="3">
        <f t="shared" si="0"/>
        <v>58.710210367995003</v>
      </c>
      <c r="J4" s="2" t="s">
        <v>11</v>
      </c>
      <c r="K4">
        <v>1.423934E-3</v>
      </c>
    </row>
    <row r="5" spans="1:14" x14ac:dyDescent="0.3">
      <c r="A5" s="4" t="s">
        <v>1</v>
      </c>
      <c r="B5" s="4">
        <v>12</v>
      </c>
      <c r="C5" s="4">
        <v>20.669561130000002</v>
      </c>
      <c r="D5" s="4">
        <v>80</v>
      </c>
      <c r="E5" s="4" t="s">
        <v>14</v>
      </c>
      <c r="H5" s="3">
        <f t="shared" si="0"/>
        <v>8.5586451770991001</v>
      </c>
    </row>
    <row r="6" spans="1:14" x14ac:dyDescent="0.3">
      <c r="A6" s="4" t="s">
        <v>1</v>
      </c>
      <c r="B6" s="4">
        <v>24</v>
      </c>
      <c r="C6" s="4">
        <v>1.4170701610000001</v>
      </c>
      <c r="D6" s="4">
        <v>80</v>
      </c>
      <c r="E6" s="4" t="s">
        <v>14</v>
      </c>
      <c r="H6" s="3">
        <f t="shared" si="0"/>
        <v>0.58676624156527002</v>
      </c>
    </row>
    <row r="7" spans="1:14" x14ac:dyDescent="0.3">
      <c r="A7" s="4" t="s">
        <v>2</v>
      </c>
      <c r="B7" s="4">
        <v>3</v>
      </c>
      <c r="C7" s="4">
        <v>353.55632179999998</v>
      </c>
      <c r="D7" s="4">
        <v>80</v>
      </c>
      <c r="E7" s="4" t="s">
        <v>14</v>
      </c>
      <c r="H7" s="3">
        <f t="shared" si="0"/>
        <v>146.39706616772597</v>
      </c>
    </row>
    <row r="8" spans="1:14" x14ac:dyDescent="0.3">
      <c r="A8" s="4" t="s">
        <v>2</v>
      </c>
      <c r="B8" s="4">
        <v>6</v>
      </c>
      <c r="C8" s="4">
        <v>502.97404669999997</v>
      </c>
      <c r="D8" s="4">
        <v>80</v>
      </c>
      <c r="E8" s="4" t="s">
        <v>14</v>
      </c>
      <c r="H8" s="3">
        <f t="shared" si="0"/>
        <v>208.26646351706898</v>
      </c>
    </row>
    <row r="9" spans="1:14" x14ac:dyDescent="0.3">
      <c r="A9" s="4" t="s">
        <v>2</v>
      </c>
      <c r="B9" s="4">
        <v>9</v>
      </c>
      <c r="C9" s="4">
        <v>177.8266088</v>
      </c>
      <c r="D9" s="4">
        <v>80</v>
      </c>
      <c r="E9" s="4" t="s">
        <v>14</v>
      </c>
      <c r="H9" s="3">
        <f t="shared" si="0"/>
        <v>73.632663905815988</v>
      </c>
    </row>
    <row r="10" spans="1:14" x14ac:dyDescent="0.3">
      <c r="A10" s="4" t="s">
        <v>2</v>
      </c>
      <c r="B10" s="4">
        <v>12</v>
      </c>
      <c r="C10" s="4">
        <v>30.41758411</v>
      </c>
      <c r="D10" s="4">
        <v>80</v>
      </c>
      <c r="E10" s="4" t="s">
        <v>14</v>
      </c>
      <c r="H10" s="3">
        <f t="shared" si="0"/>
        <v>12.595009052427701</v>
      </c>
    </row>
    <row r="11" spans="1:14" x14ac:dyDescent="0.3">
      <c r="A11" s="4" t="s">
        <v>2</v>
      </c>
      <c r="B11" s="4">
        <v>24</v>
      </c>
      <c r="C11" s="4">
        <v>1.4360754920000001</v>
      </c>
      <c r="D11" s="4">
        <v>80</v>
      </c>
      <c r="E11" s="4" t="s">
        <v>14</v>
      </c>
      <c r="H11" s="3">
        <f t="shared" si="0"/>
        <v>0.59463577897244002</v>
      </c>
    </row>
    <row r="12" spans="1:14" x14ac:dyDescent="0.3">
      <c r="A12" s="4" t="s">
        <v>3</v>
      </c>
      <c r="B12" s="4">
        <v>3</v>
      </c>
      <c r="C12" s="4">
        <v>5.0436553020000003</v>
      </c>
      <c r="D12" s="4">
        <v>80</v>
      </c>
      <c r="E12" s="4" t="s">
        <v>14</v>
      </c>
      <c r="H12" s="3">
        <f t="shared" si="0"/>
        <v>2.0884263508991401</v>
      </c>
    </row>
    <row r="13" spans="1:14" x14ac:dyDescent="0.3">
      <c r="A13" s="4" t="s">
        <v>3</v>
      </c>
      <c r="B13" s="4">
        <v>6</v>
      </c>
      <c r="C13" s="4">
        <v>8.143230398</v>
      </c>
      <c r="D13" s="4">
        <v>80</v>
      </c>
      <c r="E13" s="4" t="s">
        <v>14</v>
      </c>
      <c r="H13" s="3">
        <f t="shared" si="0"/>
        <v>3.3718674108998599</v>
      </c>
    </row>
    <row r="14" spans="1:14" x14ac:dyDescent="0.3">
      <c r="A14" s="4" t="s">
        <v>3</v>
      </c>
      <c r="B14" s="4">
        <v>9</v>
      </c>
      <c r="C14" s="4">
        <v>2.7663010200000002</v>
      </c>
      <c r="D14" s="4">
        <v>80</v>
      </c>
      <c r="E14" s="4" t="s">
        <v>14</v>
      </c>
      <c r="H14" s="3">
        <f t="shared" si="0"/>
        <v>1.1454422633514001</v>
      </c>
    </row>
    <row r="15" spans="1:14" x14ac:dyDescent="0.3">
      <c r="A15" s="4"/>
      <c r="B15" s="4"/>
      <c r="C15" s="4"/>
      <c r="D15" s="4"/>
      <c r="E15" s="4"/>
      <c r="H15" s="3"/>
    </row>
    <row r="16" spans="1:14" x14ac:dyDescent="0.3">
      <c r="A16" s="4"/>
      <c r="B16" s="4"/>
      <c r="C16" s="4"/>
      <c r="D16" s="4"/>
      <c r="E16" s="4"/>
      <c r="H16" s="3"/>
    </row>
    <row r="17" spans="1:8" x14ac:dyDescent="0.3">
      <c r="A17" s="4"/>
      <c r="B17" s="4"/>
      <c r="C17" s="4"/>
      <c r="D17" s="4"/>
      <c r="E17" s="4"/>
      <c r="H17" s="3"/>
    </row>
    <row r="18" spans="1:8" x14ac:dyDescent="0.3">
      <c r="A18" s="4"/>
      <c r="B18" s="4"/>
      <c r="C18" s="4"/>
      <c r="D18" s="4"/>
      <c r="E18" s="4"/>
      <c r="H1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C47AAF-14C3-4C96-9C32-6D39BD572B31}"/>
</file>

<file path=customXml/itemProps2.xml><?xml version="1.0" encoding="utf-8"?>
<ds:datastoreItem xmlns:ds="http://schemas.openxmlformats.org/officeDocument/2006/customXml" ds:itemID="{6DE01242-CCD5-4E46-BBC8-8E62DF483345}"/>
</file>

<file path=customXml/itemProps3.xml><?xml version="1.0" encoding="utf-8"?>
<ds:datastoreItem xmlns:ds="http://schemas.openxmlformats.org/officeDocument/2006/customXml" ds:itemID="{E3AAA1EC-55D0-4A97-81F8-92F8F250B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serum_male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Paraskevi Papakyriakopoulou</cp:lastModifiedBy>
  <dcterms:created xsi:type="dcterms:W3CDTF">2024-02-13T08:04:21Z</dcterms:created>
  <dcterms:modified xsi:type="dcterms:W3CDTF">2024-04-12T18:53:18Z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
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Jirka\Environment\PARC\WP7\Task7.3\Task 7.3.2\Complete_reverse_modelling_jan_2026\Model version for production\"/>
    </mc:Choice>
  </mc:AlternateContent>
  <xr:revisionPtr revIDLastSave="0" documentId="13_ncr:1_{3340FC0E-E712-4642-B76C-5CB2C7513C8A}" xr6:coauthVersionLast="47" xr6:coauthVersionMax="47" xr10:uidLastSave="{00000000-0000-0000-0000-000000000000}"/>
  <bookViews>
    <workbookView xWindow="105" yWindow="195" windowWidth="28695" windowHeight="15105" firstSheet="1" activeTab="1" xr2:uid="{00000000-000D-0000-FFFF-FFFF00000000}"/>
  </bookViews>
  <sheets>
    <sheet name="PbkModelInstances" sheetId="1" r:id="rId1"/>
    <sheet name="PbkModelInstanceParameters" sheetId="2" r:id="rId2"/>
  </sheets>
  <definedNames>
    <definedName name="_xlnm._FilterDatabase" localSheetId="1" hidden="1">PbkModelInstanceParameters!$A$1:$M$76</definedName>
    <definedName name="_xlnm._FilterDatabase" localSheetId="0" hidden="1">PbkModelInstances!$A$1:$E$1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" i="2" l="1"/>
  <c r="H51" i="2"/>
  <c r="K50" i="2"/>
  <c r="J50" i="2"/>
  <c r="I50" i="2"/>
  <c r="H50" i="2"/>
</calcChain>
</file>

<file path=xl/sharedStrings.xml><?xml version="1.0" encoding="utf-8"?>
<sst xmlns="http://schemas.openxmlformats.org/spreadsheetml/2006/main" count="296" uniqueCount="153">
  <si>
    <t>idModelInstance</t>
  </si>
  <si>
    <t>idModelDefinition</t>
  </si>
  <si>
    <t>Species</t>
  </si>
  <si>
    <t>Substances</t>
  </si>
  <si>
    <t>Reference</t>
  </si>
  <si>
    <t>PFOA_Human_PARC_CS_Unc</t>
  </si>
  <si>
    <t>PBK_PFAS</t>
  </si>
  <si>
    <t>Human</t>
  </si>
  <si>
    <t>PFOA</t>
  </si>
  <si>
    <t>PFOS_Human_PARC_CS_Unc</t>
  </si>
  <si>
    <t>PFOS</t>
  </si>
  <si>
    <t>PFHxS_Human_PARC_CS_Unc</t>
  </si>
  <si>
    <t>PFHxS</t>
  </si>
  <si>
    <t>PFNA_Human_PARC_CS_Unc</t>
  </si>
  <si>
    <t>PFNA</t>
  </si>
  <si>
    <t>Compound</t>
  </si>
  <si>
    <t>Sex</t>
  </si>
  <si>
    <t>Parameter</t>
  </si>
  <si>
    <t>Value</t>
  </si>
  <si>
    <t>Unit</t>
  </si>
  <si>
    <t>DistributionType</t>
  </si>
  <si>
    <t>Param1</t>
  </si>
  <si>
    <t>Param2</t>
  </si>
  <si>
    <t>Param3</t>
  </si>
  <si>
    <t>Param4</t>
  </si>
  <si>
    <t>Description</t>
  </si>
  <si>
    <t>age</t>
  </si>
  <si>
    <t>year</t>
  </si>
  <si>
    <t>const</t>
  </si>
  <si>
    <t>BW</t>
  </si>
  <si>
    <t>kg</t>
  </si>
  <si>
    <t>body weight</t>
  </si>
  <si>
    <t>height</t>
  </si>
  <si>
    <t>m</t>
  </si>
  <si>
    <t>Gender</t>
  </si>
  <si>
    <t>F, M</t>
  </si>
  <si>
    <t>TSTART</t>
  </si>
  <si>
    <t>d</t>
  </si>
  <si>
    <t>TSTOP</t>
  </si>
  <si>
    <t>DT</t>
  </si>
  <si>
    <t>exposure_duration</t>
  </si>
  <si>
    <t>age_start_occ_exp</t>
  </si>
  <si>
    <t>age_stop_occ_exp</t>
  </si>
  <si>
    <t>age_start_menstruation</t>
  </si>
  <si>
    <t>age_stop_menstruation</t>
  </si>
  <si>
    <t>BWbirth</t>
  </si>
  <si>
    <t>MFV</t>
  </si>
  <si>
    <t>L/d</t>
  </si>
  <si>
    <t>norm</t>
  </si>
  <si>
    <t>HR</t>
  </si>
  <si>
    <t>1/min</t>
  </si>
  <si>
    <t>truncnorm</t>
  </si>
  <si>
    <t>heart beat rate</t>
  </si>
  <si>
    <t>SDLun</t>
  </si>
  <si>
    <t>lnorm</t>
  </si>
  <si>
    <t>added standard deviation of the weight of lungs (by Bosgra)</t>
  </si>
  <si>
    <t>SDK</t>
  </si>
  <si>
    <t>added standard deviation of the weight of kidney (by Bosgra)</t>
  </si>
  <si>
    <t>SDInt</t>
  </si>
  <si>
    <t>added standard deviation of the weight of intestine (by Bosgra)</t>
  </si>
  <si>
    <t>SDL</t>
  </si>
  <si>
    <t>added standard deviation of the weight of liver (by Bosgra)</t>
  </si>
  <si>
    <t>SDSk</t>
  </si>
  <si>
    <t>added standard deviation of the weight of skin (by Bosgra)</t>
  </si>
  <si>
    <t>SDAdi</t>
  </si>
  <si>
    <t>SDB</t>
  </si>
  <si>
    <t>added standard deviation of the weight of blood (by Bosgra)</t>
  </si>
  <si>
    <t>QfilC</t>
  </si>
  <si>
    <t>dimensionless</t>
  </si>
  <si>
    <t>fraction of kidney plasma flow to filtrate</t>
  </si>
  <si>
    <t>Htc</t>
  </si>
  <si>
    <t>hematocrit</t>
  </si>
  <si>
    <t>VplasC</t>
  </si>
  <si>
    <t>L/kg</t>
  </si>
  <si>
    <t>fraction plasma volume</t>
  </si>
  <si>
    <t>VartC</t>
  </si>
  <si>
    <t>fraction of arterial blood</t>
  </si>
  <si>
    <t>VvenC</t>
  </si>
  <si>
    <t>fraction of venous blood</t>
  </si>
  <si>
    <t>SkinThickness</t>
  </si>
  <si>
    <t>cm</t>
  </si>
  <si>
    <t>skin thickness</t>
  </si>
  <si>
    <t>fss</t>
  </si>
  <si>
    <t>hsc</t>
  </si>
  <si>
    <t>hve</t>
  </si>
  <si>
    <t>ffatsc</t>
  </si>
  <si>
    <t>ffatve</t>
  </si>
  <si>
    <t>ffatepi</t>
  </si>
  <si>
    <t>ffatbl</t>
  </si>
  <si>
    <t>Kpcell</t>
  </si>
  <si>
    <t>cm/h</t>
  </si>
  <si>
    <t>Drinkrate</t>
  </si>
  <si>
    <t>mL/kg/d</t>
  </si>
  <si>
    <t>MW</t>
  </si>
  <si>
    <t>g/mol</t>
  </si>
  <si>
    <t>molar weight</t>
  </si>
  <si>
    <t>logP</t>
  </si>
  <si>
    <t>VP</t>
  </si>
  <si>
    <t>kg/m/s^2</t>
  </si>
  <si>
    <t>vapor pressure</t>
  </si>
  <si>
    <t>Kpve</t>
  </si>
  <si>
    <t>Kpsc</t>
  </si>
  <si>
    <t>Oralexpo</t>
  </si>
  <si>
    <t>Drinkconc</t>
  </si>
  <si>
    <t>Cinh</t>
  </si>
  <si>
    <t>Cdermal</t>
  </si>
  <si>
    <t>Tmc</t>
  </si>
  <si>
    <t>ug/d/kg^0.75</t>
  </si>
  <si>
    <t>trunclnorm</t>
  </si>
  <si>
    <t>maximum resorption rate</t>
  </si>
  <si>
    <t>Kt</t>
  </si>
  <si>
    <t>ug/L</t>
  </si>
  <si>
    <t>resorption affinity</t>
  </si>
  <si>
    <t>kurinec</t>
  </si>
  <si>
    <t>/d.kg^0.25</t>
  </si>
  <si>
    <t>urinary elimination rate constant</t>
  </si>
  <si>
    <t>CLfaeces</t>
  </si>
  <si>
    <t>L/kg/d</t>
  </si>
  <si>
    <t>Free</t>
  </si>
  <si>
    <t>free fraction in plasma</t>
  </si>
  <si>
    <t>PL</t>
  </si>
  <si>
    <t>partition coefficient liver/plasma</t>
  </si>
  <si>
    <t>PF</t>
  </si>
  <si>
    <t>partition coefficient fat/plasma</t>
  </si>
  <si>
    <t>PK</t>
  </si>
  <si>
    <t>partition coefficient kidney/plasma</t>
  </si>
  <si>
    <t>PSk</t>
  </si>
  <si>
    <t>partition coefficient skin/plasma</t>
  </si>
  <si>
    <t>PR</t>
  </si>
  <si>
    <t>partition coefficient rest-of-body/plasma</t>
  </si>
  <si>
    <t>PG</t>
  </si>
  <si>
    <t>partition coefficient gut/plasma</t>
  </si>
  <si>
    <t>PLun</t>
  </si>
  <si>
    <t>partition coefficient lung/plasma</t>
  </si>
  <si>
    <t>maternal</t>
  </si>
  <si>
    <t>PT</t>
  </si>
  <si>
    <t>Ratio</t>
  </si>
  <si>
    <t>milk concentration/maternal serum concentration during breastfeeding, new add opinion 2020</t>
  </si>
  <si>
    <t>DECLINE</t>
  </si>
  <si>
    <t>decline of concentration in milk was 7.7% per month, new add opinion 2020</t>
  </si>
  <si>
    <t>Milkconsumption</t>
  </si>
  <si>
    <t>Aartbirth</t>
  </si>
  <si>
    <t>Avenbirth</t>
  </si>
  <si>
    <t>AGbirth</t>
  </si>
  <si>
    <t>ALbirth</t>
  </si>
  <si>
    <t>AFbirth</t>
  </si>
  <si>
    <t>AKbirth</t>
  </si>
  <si>
    <t>ALunbirth</t>
  </si>
  <si>
    <t>ASkbirth</t>
  </si>
  <si>
    <t>ARbirth</t>
  </si>
  <si>
    <t>Afilbirth</t>
  </si>
  <si>
    <t>Adelaybirth</t>
  </si>
  <si>
    <t>Aurinebirth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</si>
</sst>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0"/>
    <numFmt numFmtId="165" formatCode="0.0000"/>
    <numFmt numFmtId="166" formatCode="0.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Aptos Narrow"/>
      <family val="2"/>
    </font>
    <font>
      <sz val="11"/>
      <name val="Calibri"/>
      <family val="2"/>
      <charset val="238"/>
      <scheme val="minor"/>
    </font>
    <font>
      <sz val="11"/>
      <name val="Aptos Narrow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0" xfId="0" applyFont="1"/>
    <xf numFmtId="0" fontId="4" fillId="0" borderId="0" xfId="0" applyFont="1"/>
    <xf numFmtId="0" fontId="5" fillId="0" borderId="0" xfId="0" applyFont="1"/>
    <xf numFmtId="0" fontId="5" fillId="0" borderId="0" xfId="1" applyFont="1" applyAlignment="1">
      <alignment horizontal="center" vertical="center"/>
    </xf>
    <xf numFmtId="0" fontId="4" fillId="0" borderId="0" xfId="0" applyFont="1" applyAlignment="1">
      <alignment horizontal="right"/>
    </xf>
    <xf numFmtId="165" fontId="4" fillId="0" borderId="0" xfId="0" applyNumberFormat="1" applyFont="1" applyAlignment="1">
      <alignment horizontal="right" vertical="center"/>
    </xf>
    <xf numFmtId="166" fontId="4" fillId="0" borderId="0" xfId="0" applyNumberFormat="1" applyFont="1" applyAlignment="1">
      <alignment horizontal="right" vertical="center"/>
    </xf>
    <xf numFmtId="2" fontId="4" fillId="0" borderId="0" xfId="0" applyNumberFormat="1" applyFont="1" applyAlignment="1">
      <alignment horizontal="right" vertical="center"/>
    </xf>
    <xf numFmtId="11" fontId="5" fillId="0" borderId="0" xfId="0" applyNumberFormat="1" applyFont="1"/>
    <xf numFmtId="16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right" vertical="center"/>
    </xf>
  </cellXfs>
  <cellStyles count="2">
    <cellStyle name="Normální" xfId="0" builtinId="0"/>
    <cellStyle name="Normální_List1" xfId="1" xr:uid="{421EB85E-F71D-405F-B179-C2DD8208C2B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workbookViewId="0">
      <selection activeCell="A6" sqref="A6"/>
    </sheetView>
  </sheetViews>
  <sheetFormatPr defaultRowHeight="15" x14ac:dyDescent="0.25"/>
  <cols>
    <col min="1" max="1" width="27.42578125" bestFit="1" customWidth="1"/>
    <col min="2" max="2" width="20.140625" bestFit="1" customWidth="1"/>
    <col min="3" max="3" width="10" bestFit="1" customWidth="1"/>
    <col min="4" max="4" width="13.140625" bestFit="1" customWidth="1"/>
    <col min="5" max="5" width="12.42578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t="s">
        <v>7</v>
      </c>
      <c r="D2" t="s">
        <v>8</v>
      </c>
    </row>
    <row r="3" spans="1:5" x14ac:dyDescent="0.25">
      <c r="A3" t="s">
        <v>9</v>
      </c>
      <c r="B3" t="s">
        <v>6</v>
      </c>
      <c r="C3" t="s">
        <v>7</v>
      </c>
      <c r="D3" t="s">
        <v>10</v>
      </c>
    </row>
    <row r="4" spans="1:5" x14ac:dyDescent="0.25">
      <c r="A4" t="s">
        <v>11</v>
      </c>
      <c r="B4" t="s">
        <v>6</v>
      </c>
      <c r="C4" t="s">
        <v>7</v>
      </c>
      <c r="D4" t="s">
        <v>12</v>
      </c>
    </row>
    <row r="5" spans="1:5" x14ac:dyDescent="0.25">
      <c r="A5" t="s">
        <v>13</v>
      </c>
      <c r="B5" t="s">
        <v>6</v>
      </c>
      <c r="C5" t="s">
        <v>7</v>
      </c>
      <c r="D5" t="s">
        <v>14</v>
      </c>
    </row>
  </sheetData>
  <autoFilter ref="A1:E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6"/>
  <sheetViews>
    <sheetView tabSelected="1" zoomScaleNormal="100" workbookViewId="0">
      <selection activeCell="D19" sqref="D19"/>
    </sheetView>
  </sheetViews>
  <sheetFormatPr defaultRowHeight="15" x14ac:dyDescent="0.25"/>
  <cols>
    <col min="1" max="1" width="34.42578125" customWidth="1"/>
    <col min="2" max="2" width="13" bestFit="1" customWidth="1"/>
    <col min="3" max="3" width="7.28515625" bestFit="1" customWidth="1"/>
    <col min="4" max="4" width="22.5703125" bestFit="1" customWidth="1"/>
    <col min="5" max="5" width="8.42578125" bestFit="1" customWidth="1"/>
    <col min="6" max="6" width="14" bestFit="1" customWidth="1"/>
    <col min="7" max="7" width="18.28515625" bestFit="1" customWidth="1"/>
    <col min="8" max="11" width="16" customWidth="1"/>
    <col min="12" max="12" width="60.28515625" bestFit="1" customWidth="1"/>
    <col min="13" max="13" width="36.42578125" customWidth="1"/>
  </cols>
  <sheetData>
    <row r="1" spans="1:13" x14ac:dyDescent="0.25">
      <c r="A1" s="1" t="s">
        <v>0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4</v>
      </c>
    </row>
    <row r="2" spans="1:13" x14ac:dyDescent="0.25">
      <c r="A2" s="3"/>
      <c r="B2" s="3"/>
      <c r="C2" s="3"/>
      <c r="D2" s="3" t="s">
        <v>26</v>
      </c>
      <c r="E2" s="3"/>
      <c r="F2" s="3" t="s">
        <v>27</v>
      </c>
      <c r="G2" s="3" t="s">
        <v>28</v>
      </c>
      <c r="H2" s="3"/>
      <c r="I2" s="3"/>
      <c r="J2" s="3"/>
      <c r="K2" s="3"/>
      <c r="L2" s="3"/>
      <c r="M2" s="3"/>
    </row>
    <row r="3" spans="1:13" x14ac:dyDescent="0.25">
      <c r="A3" s="3" t="s">
        <v>9</v>
      </c>
      <c r="B3" s="3"/>
      <c r="C3" s="3"/>
      <c r="D3" s="3" t="s">
        <v>29</v>
      </c>
      <c r="E3" s="3"/>
      <c r="F3" s="3" t="s">
        <v>30</v>
      </c>
      <c r="G3" s="3" t="s">
        <v>28</v>
      </c>
      <c r="H3" s="3"/>
      <c r="I3" s="3"/>
      <c r="J3" s="3"/>
      <c r="K3" s="3"/>
      <c r="L3" s="3" t="s">
        <v>31</v>
      </c>
      <c r="M3" s="3"/>
    </row>
    <row r="4" spans="1:13" x14ac:dyDescent="0.25">
      <c r="A4" s="3"/>
      <c r="B4" s="3"/>
      <c r="C4" s="3"/>
      <c r="D4" s="3" t="s">
        <v>32</v>
      </c>
      <c r="E4" s="3"/>
      <c r="F4" s="3" t="s">
        <v>33</v>
      </c>
      <c r="G4" s="3" t="s">
        <v>28</v>
      </c>
      <c r="H4" s="3"/>
      <c r="I4" s="3"/>
      <c r="J4" s="3"/>
      <c r="K4" s="3"/>
      <c r="L4" s="3"/>
      <c r="M4" s="3"/>
    </row>
    <row r="5" spans="1:13" x14ac:dyDescent="0.25">
      <c r="A5" s="3"/>
      <c r="B5" s="3"/>
      <c r="C5" s="3"/>
      <c r="D5" s="3" t="s">
        <v>34</v>
      </c>
      <c r="E5" s="3"/>
      <c r="F5" s="3"/>
      <c r="G5" s="3" t="s">
        <v>28</v>
      </c>
      <c r="H5" s="3"/>
      <c r="I5" s="3"/>
      <c r="J5" s="3"/>
      <c r="K5" s="3"/>
      <c r="L5" s="3" t="s">
        <v>35</v>
      </c>
      <c r="M5" s="3"/>
    </row>
    <row r="6" spans="1:13" x14ac:dyDescent="0.25">
      <c r="A6" s="3"/>
      <c r="B6" s="3"/>
      <c r="C6" s="3"/>
      <c r="D6" s="3" t="s">
        <v>36</v>
      </c>
      <c r="E6" s="3"/>
      <c r="F6" s="3" t="s">
        <v>37</v>
      </c>
      <c r="G6" s="3" t="s">
        <v>28</v>
      </c>
      <c r="H6" s="3">
        <v>0</v>
      </c>
      <c r="I6" s="3"/>
      <c r="J6" s="3"/>
      <c r="K6" s="3"/>
      <c r="L6" s="3"/>
      <c r="M6" s="3"/>
    </row>
    <row r="7" spans="1:13" x14ac:dyDescent="0.25">
      <c r="A7" s="3"/>
      <c r="B7" s="3"/>
      <c r="C7" s="3"/>
      <c r="D7" s="3" t="s">
        <v>38</v>
      </c>
      <c r="E7" s="3"/>
      <c r="F7" s="3" t="s">
        <v>37</v>
      </c>
      <c r="G7" s="3" t="s">
        <v>28</v>
      </c>
      <c r="H7" s="3">
        <v>10950</v>
      </c>
      <c r="I7" s="3"/>
      <c r="J7" s="3"/>
      <c r="K7" s="3"/>
      <c r="L7" s="3"/>
      <c r="M7" s="3"/>
    </row>
    <row r="8" spans="1:13" x14ac:dyDescent="0.25">
      <c r="A8" s="3"/>
      <c r="B8" s="3"/>
      <c r="C8" s="3"/>
      <c r="D8" s="3" t="s">
        <v>39</v>
      </c>
      <c r="E8" s="3"/>
      <c r="F8" s="3" t="s">
        <v>37</v>
      </c>
      <c r="G8" s="3" t="s">
        <v>28</v>
      </c>
      <c r="H8" s="3">
        <v>1</v>
      </c>
      <c r="I8" s="3"/>
      <c r="J8" s="3"/>
      <c r="K8" s="3"/>
      <c r="L8" s="3"/>
      <c r="M8" s="3"/>
    </row>
    <row r="9" spans="1:13" x14ac:dyDescent="0.25">
      <c r="A9" s="3"/>
      <c r="B9" s="3"/>
      <c r="C9" s="3"/>
      <c r="D9" s="3" t="s">
        <v>40</v>
      </c>
      <c r="E9" s="3"/>
      <c r="F9" s="3" t="s">
        <v>37</v>
      </c>
      <c r="G9" s="3" t="s">
        <v>28</v>
      </c>
      <c r="H9" s="3">
        <v>10950</v>
      </c>
      <c r="I9" s="3"/>
      <c r="J9" s="3"/>
      <c r="K9" s="3"/>
      <c r="L9" s="3"/>
      <c r="M9" s="3"/>
    </row>
    <row r="10" spans="1:13" x14ac:dyDescent="0.25">
      <c r="A10" s="3"/>
      <c r="B10" s="3"/>
      <c r="C10" s="3"/>
      <c r="D10" s="3" t="s">
        <v>41</v>
      </c>
      <c r="E10" s="3"/>
      <c r="F10" s="3" t="s">
        <v>27</v>
      </c>
      <c r="G10" s="3" t="s">
        <v>28</v>
      </c>
      <c r="H10" s="3">
        <v>0</v>
      </c>
      <c r="I10" s="3"/>
      <c r="J10" s="3"/>
      <c r="K10" s="3"/>
      <c r="L10" s="3"/>
      <c r="M10" s="3"/>
    </row>
    <row r="11" spans="1:13" x14ac:dyDescent="0.25">
      <c r="A11" s="3"/>
      <c r="B11" s="3"/>
      <c r="C11" s="3"/>
      <c r="D11" s="3" t="s">
        <v>42</v>
      </c>
      <c r="E11" s="3"/>
      <c r="F11" s="3" t="s">
        <v>27</v>
      </c>
      <c r="G11" s="3" t="s">
        <v>28</v>
      </c>
      <c r="H11" s="3">
        <v>0</v>
      </c>
      <c r="I11" s="3"/>
      <c r="J11" s="3"/>
      <c r="K11" s="3"/>
      <c r="L11" s="3"/>
      <c r="M11" s="3"/>
    </row>
    <row r="12" spans="1:13" x14ac:dyDescent="0.25">
      <c r="A12" s="3"/>
      <c r="B12" s="3"/>
      <c r="C12" s="3"/>
      <c r="D12" s="3" t="s">
        <v>43</v>
      </c>
      <c r="E12" s="3"/>
      <c r="F12" s="3" t="s">
        <v>27</v>
      </c>
      <c r="G12" s="3" t="s">
        <v>28</v>
      </c>
      <c r="H12" s="3">
        <v>14</v>
      </c>
      <c r="I12" s="3"/>
      <c r="J12" s="3"/>
      <c r="K12" s="3"/>
      <c r="L12" s="3"/>
      <c r="M12" s="3"/>
    </row>
    <row r="13" spans="1:13" x14ac:dyDescent="0.25">
      <c r="A13" s="3"/>
      <c r="B13" s="3"/>
      <c r="C13" s="3"/>
      <c r="D13" s="3" t="s">
        <v>44</v>
      </c>
      <c r="E13" s="3"/>
      <c r="F13" s="3" t="s">
        <v>27</v>
      </c>
      <c r="G13" s="3" t="s">
        <v>28</v>
      </c>
      <c r="H13" s="3">
        <v>50</v>
      </c>
      <c r="I13" s="3"/>
      <c r="J13" s="3"/>
      <c r="K13" s="3"/>
      <c r="L13" s="3"/>
      <c r="M13" s="3"/>
    </row>
    <row r="14" spans="1:13" x14ac:dyDescent="0.25">
      <c r="A14" s="3"/>
      <c r="B14" s="3"/>
      <c r="C14" s="3"/>
      <c r="D14" s="3" t="s">
        <v>45</v>
      </c>
      <c r="E14" s="3"/>
      <c r="F14" s="3" t="s">
        <v>30</v>
      </c>
      <c r="G14" s="3" t="s">
        <v>28</v>
      </c>
      <c r="H14" s="3">
        <v>3.68</v>
      </c>
      <c r="I14" s="3"/>
      <c r="J14" s="3"/>
      <c r="K14" s="3"/>
      <c r="L14" s="3"/>
      <c r="M14" s="3"/>
    </row>
    <row r="15" spans="1:13" x14ac:dyDescent="0.25">
      <c r="A15" s="3"/>
      <c r="B15" s="3"/>
      <c r="C15" s="3"/>
      <c r="D15" s="3" t="s">
        <v>46</v>
      </c>
      <c r="E15" s="3"/>
      <c r="F15" s="3" t="s">
        <v>47</v>
      </c>
      <c r="G15" s="3" t="s">
        <v>48</v>
      </c>
      <c r="H15" s="4">
        <v>2.2889999999999998E-3</v>
      </c>
      <c r="I15" s="3">
        <v>5.5000000000000003E-4</v>
      </c>
      <c r="J15" s="3"/>
      <c r="K15" s="3"/>
      <c r="L15" s="3"/>
      <c r="M15" s="3"/>
    </row>
    <row r="16" spans="1:13" x14ac:dyDescent="0.25">
      <c r="A16" s="3"/>
      <c r="B16" s="3"/>
      <c r="C16" s="3"/>
      <c r="D16" s="3" t="s">
        <v>49</v>
      </c>
      <c r="E16" s="3"/>
      <c r="F16" s="3" t="s">
        <v>50</v>
      </c>
      <c r="G16" s="3" t="s">
        <v>51</v>
      </c>
      <c r="H16" s="3">
        <v>80</v>
      </c>
      <c r="I16" s="3">
        <v>13.2</v>
      </c>
      <c r="J16" s="3">
        <v>60</v>
      </c>
      <c r="K16" s="3">
        <v>100</v>
      </c>
      <c r="L16" s="3" t="s">
        <v>52</v>
      </c>
      <c r="M16" s="3"/>
    </row>
    <row r="17" spans="1:13" x14ac:dyDescent="0.25">
      <c r="A17" s="3"/>
      <c r="B17" s="3"/>
      <c r="C17" s="3"/>
      <c r="D17" s="3" t="s">
        <v>53</v>
      </c>
      <c r="E17" s="3"/>
      <c r="F17" s="3" t="s">
        <v>30</v>
      </c>
      <c r="G17" s="3" t="s">
        <v>54</v>
      </c>
      <c r="H17" s="3">
        <v>1</v>
      </c>
      <c r="I17" s="3">
        <v>0.19500000000000001</v>
      </c>
      <c r="J17" s="3"/>
      <c r="K17" s="3"/>
      <c r="L17" s="3" t="s">
        <v>55</v>
      </c>
      <c r="M17" s="3"/>
    </row>
    <row r="18" spans="1:13" x14ac:dyDescent="0.25">
      <c r="A18" s="3"/>
      <c r="B18" s="3"/>
      <c r="C18" s="3"/>
      <c r="D18" s="3" t="s">
        <v>56</v>
      </c>
      <c r="E18" s="3"/>
      <c r="F18" s="3" t="s">
        <v>30</v>
      </c>
      <c r="G18" s="3" t="s">
        <v>54</v>
      </c>
      <c r="H18" s="3">
        <v>1</v>
      </c>
      <c r="I18" s="3">
        <v>0.14000000000000001</v>
      </c>
      <c r="J18" s="3"/>
      <c r="K18" s="3"/>
      <c r="L18" s="3" t="s">
        <v>57</v>
      </c>
      <c r="M18" s="3"/>
    </row>
    <row r="19" spans="1:13" x14ac:dyDescent="0.25">
      <c r="A19" s="3"/>
      <c r="B19" s="3"/>
      <c r="C19" s="3"/>
      <c r="D19" s="3" t="s">
        <v>58</v>
      </c>
      <c r="E19" s="3"/>
      <c r="F19" s="3" t="s">
        <v>30</v>
      </c>
      <c r="G19" s="3" t="s">
        <v>54</v>
      </c>
      <c r="H19" s="3">
        <v>1</v>
      </c>
      <c r="I19" s="3">
        <v>4.9000000000000002E-2</v>
      </c>
      <c r="J19" s="3"/>
      <c r="K19" s="3"/>
      <c r="L19" s="3" t="s">
        <v>59</v>
      </c>
      <c r="M19" s="3"/>
    </row>
    <row r="20" spans="1:13" x14ac:dyDescent="0.25">
      <c r="A20" s="3"/>
      <c r="B20" s="3"/>
      <c r="C20" s="3"/>
      <c r="D20" s="3" t="s">
        <v>60</v>
      </c>
      <c r="E20" s="3"/>
      <c r="F20" s="3" t="s">
        <v>30</v>
      </c>
      <c r="G20" s="3" t="s">
        <v>54</v>
      </c>
      <c r="H20" s="3">
        <v>1</v>
      </c>
      <c r="I20" s="3">
        <v>2.8000000000000001E-2</v>
      </c>
      <c r="J20" s="3"/>
      <c r="K20" s="3"/>
      <c r="L20" s="3" t="s">
        <v>61</v>
      </c>
      <c r="M20" s="3"/>
    </row>
    <row r="21" spans="1:13" x14ac:dyDescent="0.25">
      <c r="A21" s="3"/>
      <c r="B21" s="3"/>
      <c r="C21" s="3"/>
      <c r="D21" s="3" t="s">
        <v>62</v>
      </c>
      <c r="E21" s="3"/>
      <c r="F21" s="3" t="s">
        <v>30</v>
      </c>
      <c r="G21" s="3" t="s">
        <v>54</v>
      </c>
      <c r="H21" s="3">
        <v>1</v>
      </c>
      <c r="I21" s="3">
        <v>4.9000000000000002E-2</v>
      </c>
      <c r="J21" s="3"/>
      <c r="K21" s="3"/>
      <c r="L21" s="3" t="s">
        <v>63</v>
      </c>
      <c r="M21" s="3"/>
    </row>
    <row r="22" spans="1:13" x14ac:dyDescent="0.25">
      <c r="A22" s="3"/>
      <c r="B22" s="3"/>
      <c r="C22" s="3"/>
      <c r="D22" s="3" t="s">
        <v>64</v>
      </c>
      <c r="E22" s="3"/>
      <c r="F22" s="3" t="s">
        <v>30</v>
      </c>
      <c r="G22" s="3" t="s">
        <v>54</v>
      </c>
      <c r="H22" s="3">
        <v>1</v>
      </c>
      <c r="I22" s="3">
        <v>0</v>
      </c>
      <c r="J22" s="3"/>
      <c r="K22" s="3"/>
      <c r="L22" s="3" t="s">
        <v>55</v>
      </c>
      <c r="M22" s="3"/>
    </row>
    <row r="23" spans="1:13" x14ac:dyDescent="0.25">
      <c r="A23" s="3"/>
      <c r="B23" s="3"/>
      <c r="C23" s="3"/>
      <c r="D23" s="3" t="s">
        <v>65</v>
      </c>
      <c r="E23" s="3"/>
      <c r="F23" s="3" t="s">
        <v>30</v>
      </c>
      <c r="G23" s="3" t="s">
        <v>54</v>
      </c>
      <c r="H23" s="3">
        <v>1</v>
      </c>
      <c r="I23" s="3">
        <v>0.1</v>
      </c>
      <c r="J23" s="3"/>
      <c r="K23" s="3"/>
      <c r="L23" s="3" t="s">
        <v>66</v>
      </c>
      <c r="M23" s="3"/>
    </row>
    <row r="24" spans="1:13" x14ac:dyDescent="0.25">
      <c r="A24" s="3" t="s">
        <v>9</v>
      </c>
      <c r="B24" s="3"/>
      <c r="C24" s="3"/>
      <c r="D24" s="3" t="s">
        <v>67</v>
      </c>
      <c r="E24" s="3"/>
      <c r="F24" s="3" t="s">
        <v>68</v>
      </c>
      <c r="G24" s="3" t="s">
        <v>28</v>
      </c>
      <c r="H24" s="3">
        <v>0.2</v>
      </c>
      <c r="I24" s="3"/>
      <c r="J24" s="3"/>
      <c r="K24" s="3"/>
      <c r="L24" s="3" t="s">
        <v>69</v>
      </c>
      <c r="M24" s="3"/>
    </row>
    <row r="25" spans="1:13" x14ac:dyDescent="0.25">
      <c r="A25" s="3"/>
      <c r="B25" s="3"/>
      <c r="C25" s="3"/>
      <c r="D25" s="3" t="s">
        <v>70</v>
      </c>
      <c r="E25" s="3"/>
      <c r="F25" s="3" t="s">
        <v>68</v>
      </c>
      <c r="G25" s="3" t="s">
        <v>28</v>
      </c>
      <c r="H25" s="3">
        <v>0.44</v>
      </c>
      <c r="I25" s="3"/>
      <c r="J25" s="3"/>
      <c r="K25" s="3"/>
      <c r="L25" s="3" t="s">
        <v>71</v>
      </c>
      <c r="M25" s="3"/>
    </row>
    <row r="26" spans="1:13" x14ac:dyDescent="0.25">
      <c r="A26" s="3" t="s">
        <v>9</v>
      </c>
      <c r="B26" s="3" t="s">
        <v>10</v>
      </c>
      <c r="C26" s="3"/>
      <c r="D26" s="3" t="s">
        <v>72</v>
      </c>
      <c r="E26" s="3"/>
      <c r="F26" s="3" t="s">
        <v>73</v>
      </c>
      <c r="G26" s="3" t="s">
        <v>28</v>
      </c>
      <c r="H26" s="3">
        <v>4.2799999999999998E-2</v>
      </c>
      <c r="I26" s="3"/>
      <c r="J26" s="3"/>
      <c r="K26" s="3"/>
      <c r="L26" s="3" t="s">
        <v>74</v>
      </c>
      <c r="M26" s="3"/>
    </row>
    <row r="27" spans="1:13" x14ac:dyDescent="0.25">
      <c r="A27" s="3"/>
      <c r="B27" s="3"/>
      <c r="C27" s="3"/>
      <c r="D27" s="3" t="s">
        <v>75</v>
      </c>
      <c r="E27" s="3"/>
      <c r="F27" s="3">
        <v>1</v>
      </c>
      <c r="G27" s="3" t="s">
        <v>28</v>
      </c>
      <c r="H27" s="3">
        <v>0.39</v>
      </c>
      <c r="I27" s="3"/>
      <c r="J27" s="3"/>
      <c r="K27" s="3"/>
      <c r="L27" s="3" t="s">
        <v>76</v>
      </c>
      <c r="M27" s="3"/>
    </row>
    <row r="28" spans="1:13" x14ac:dyDescent="0.25">
      <c r="A28" s="3"/>
      <c r="B28" s="3"/>
      <c r="C28" s="3"/>
      <c r="D28" s="3" t="s">
        <v>77</v>
      </c>
      <c r="E28" s="3"/>
      <c r="F28" s="3">
        <v>1</v>
      </c>
      <c r="G28" s="3" t="s">
        <v>28</v>
      </c>
      <c r="H28" s="3">
        <v>0.61</v>
      </c>
      <c r="I28" s="3"/>
      <c r="J28" s="3"/>
      <c r="K28" s="3"/>
      <c r="L28" s="3" t="s">
        <v>78</v>
      </c>
      <c r="M28" s="3"/>
    </row>
    <row r="29" spans="1:13" x14ac:dyDescent="0.25">
      <c r="A29" s="3" t="s">
        <v>9</v>
      </c>
      <c r="B29" s="3" t="s">
        <v>10</v>
      </c>
      <c r="C29" s="3"/>
      <c r="D29" s="3" t="s">
        <v>79</v>
      </c>
      <c r="E29" s="3"/>
      <c r="F29" s="3" t="s">
        <v>80</v>
      </c>
      <c r="G29" s="3" t="s">
        <v>28</v>
      </c>
      <c r="H29" s="3">
        <v>0.1</v>
      </c>
      <c r="I29" s="3"/>
      <c r="J29" s="3"/>
      <c r="K29" s="3"/>
      <c r="L29" s="3" t="s">
        <v>81</v>
      </c>
      <c r="M29" s="3"/>
    </row>
    <row r="30" spans="1:13" x14ac:dyDescent="0.25">
      <c r="A30" s="3"/>
      <c r="B30" s="3"/>
      <c r="C30" s="3"/>
      <c r="D30" s="3" t="s">
        <v>82</v>
      </c>
      <c r="E30" s="3"/>
      <c r="F30" s="3"/>
      <c r="G30" s="3" t="s">
        <v>28</v>
      </c>
      <c r="H30" s="3">
        <v>5.0000000000000001E-3</v>
      </c>
      <c r="I30" s="3"/>
      <c r="J30" s="3"/>
      <c r="K30" s="3"/>
      <c r="L30" s="3"/>
      <c r="M30" s="3"/>
    </row>
    <row r="31" spans="1:13" x14ac:dyDescent="0.25">
      <c r="A31" s="3"/>
      <c r="B31" s="3"/>
      <c r="C31" s="3"/>
      <c r="D31" s="3" t="s">
        <v>83</v>
      </c>
      <c r="E31" s="3"/>
      <c r="F31" s="3"/>
      <c r="G31" s="3" t="s">
        <v>28</v>
      </c>
      <c r="H31" s="3">
        <v>1.5E-3</v>
      </c>
      <c r="I31" s="3"/>
      <c r="J31" s="3"/>
      <c r="K31" s="3"/>
      <c r="L31" s="3"/>
      <c r="M31" s="3"/>
    </row>
    <row r="32" spans="1:13" x14ac:dyDescent="0.25">
      <c r="A32" s="3"/>
      <c r="B32" s="3"/>
      <c r="C32" s="3"/>
      <c r="D32" s="3" t="s">
        <v>84</v>
      </c>
      <c r="E32" s="3"/>
      <c r="F32" s="3"/>
      <c r="G32" s="3" t="s">
        <v>28</v>
      </c>
      <c r="H32" s="3">
        <v>0.01</v>
      </c>
      <c r="I32" s="3"/>
      <c r="J32" s="3"/>
      <c r="K32" s="3"/>
      <c r="L32" s="3"/>
      <c r="M32" s="3"/>
    </row>
    <row r="33" spans="1:13" x14ac:dyDescent="0.25">
      <c r="A33" s="3"/>
      <c r="B33" s="3"/>
      <c r="C33" s="3"/>
      <c r="D33" s="3" t="s">
        <v>85</v>
      </c>
      <c r="E33" s="3"/>
      <c r="F33" s="3"/>
      <c r="G33" s="3" t="s">
        <v>28</v>
      </c>
      <c r="H33" s="3">
        <v>0.05</v>
      </c>
      <c r="I33" s="3"/>
      <c r="J33" s="3"/>
      <c r="K33" s="3"/>
      <c r="L33" s="3"/>
      <c r="M33" s="3"/>
    </row>
    <row r="34" spans="1:13" x14ac:dyDescent="0.25">
      <c r="A34" s="3"/>
      <c r="B34" s="3"/>
      <c r="C34" s="3"/>
      <c r="D34" s="3" t="s">
        <v>86</v>
      </c>
      <c r="E34" s="3"/>
      <c r="F34" s="3"/>
      <c r="G34" s="3" t="s">
        <v>28</v>
      </c>
      <c r="H34" s="3">
        <v>0.02</v>
      </c>
      <c r="I34" s="3"/>
      <c r="J34" s="3"/>
      <c r="K34" s="3"/>
      <c r="L34" s="3"/>
      <c r="M34" s="3"/>
    </row>
    <row r="35" spans="1:13" x14ac:dyDescent="0.25">
      <c r="A35" s="3"/>
      <c r="B35" s="3"/>
      <c r="C35" s="3"/>
      <c r="D35" s="3" t="s">
        <v>87</v>
      </c>
      <c r="E35" s="3"/>
      <c r="F35" s="3"/>
      <c r="G35" s="3" t="s">
        <v>28</v>
      </c>
      <c r="H35" s="3">
        <v>0.02</v>
      </c>
      <c r="I35" s="3"/>
      <c r="J35" s="3"/>
      <c r="K35" s="3"/>
      <c r="L35" s="3"/>
      <c r="M35" s="3"/>
    </row>
    <row r="36" spans="1:13" x14ac:dyDescent="0.25">
      <c r="A36" s="3"/>
      <c r="B36" s="3"/>
      <c r="C36" s="3"/>
      <c r="D36" s="3" t="s">
        <v>88</v>
      </c>
      <c r="E36" s="3"/>
      <c r="F36" s="3"/>
      <c r="G36" s="3" t="s">
        <v>28</v>
      </c>
      <c r="H36" s="3">
        <v>7.0000000000000001E-3</v>
      </c>
      <c r="I36" s="3"/>
      <c r="J36" s="3"/>
      <c r="K36" s="3"/>
      <c r="L36" s="3"/>
      <c r="M36" s="3"/>
    </row>
    <row r="37" spans="1:13" x14ac:dyDescent="0.25">
      <c r="A37" s="3"/>
      <c r="B37" s="3"/>
      <c r="C37" s="3"/>
      <c r="D37" s="3" t="s">
        <v>89</v>
      </c>
      <c r="E37" s="3"/>
      <c r="F37" s="3" t="s">
        <v>90</v>
      </c>
      <c r="G37" s="3" t="s">
        <v>28</v>
      </c>
      <c r="H37" s="3">
        <v>0.93</v>
      </c>
      <c r="I37" s="3"/>
      <c r="J37" s="3"/>
      <c r="K37" s="3"/>
      <c r="L37" s="3"/>
      <c r="M37" s="3"/>
    </row>
    <row r="38" spans="1:13" x14ac:dyDescent="0.25">
      <c r="A38" s="3"/>
      <c r="B38" s="3"/>
      <c r="C38" s="3"/>
      <c r="D38" s="3" t="s">
        <v>91</v>
      </c>
      <c r="E38" s="3"/>
      <c r="F38" s="3" t="s">
        <v>92</v>
      </c>
      <c r="G38" s="3" t="s">
        <v>28</v>
      </c>
      <c r="H38" s="3">
        <v>13</v>
      </c>
      <c r="I38" s="3"/>
      <c r="J38" s="3"/>
      <c r="K38" s="3"/>
      <c r="L38" s="3"/>
      <c r="M38" s="3"/>
    </row>
    <row r="39" spans="1:13" x14ac:dyDescent="0.25">
      <c r="A39" s="3" t="s">
        <v>9</v>
      </c>
      <c r="B39" s="3" t="s">
        <v>10</v>
      </c>
      <c r="C39" s="3"/>
      <c r="D39" s="3" t="s">
        <v>93</v>
      </c>
      <c r="E39" s="3"/>
      <c r="F39" s="3" t="s">
        <v>94</v>
      </c>
      <c r="G39" s="3" t="s">
        <v>28</v>
      </c>
      <c r="H39" s="3">
        <v>500.13</v>
      </c>
      <c r="I39" s="3"/>
      <c r="J39" s="3"/>
      <c r="K39" s="3"/>
      <c r="L39" s="3" t="s">
        <v>95</v>
      </c>
      <c r="M39" s="3"/>
    </row>
    <row r="40" spans="1:13" x14ac:dyDescent="0.25">
      <c r="A40" s="3" t="s">
        <v>9</v>
      </c>
      <c r="B40" s="3" t="s">
        <v>10</v>
      </c>
      <c r="C40" s="3"/>
      <c r="D40" s="3" t="s">
        <v>96</v>
      </c>
      <c r="E40" s="3"/>
      <c r="F40" s="3" t="s">
        <v>68</v>
      </c>
      <c r="G40" s="3" t="s">
        <v>28</v>
      </c>
      <c r="H40" s="3">
        <v>4.5</v>
      </c>
      <c r="I40" s="3"/>
      <c r="J40" s="3"/>
      <c r="K40" s="3"/>
      <c r="L40" s="3" t="s">
        <v>96</v>
      </c>
      <c r="M40" s="3"/>
    </row>
    <row r="41" spans="1:13" x14ac:dyDescent="0.25">
      <c r="A41" s="3" t="s">
        <v>9</v>
      </c>
      <c r="B41" s="3" t="s">
        <v>10</v>
      </c>
      <c r="C41" s="3"/>
      <c r="D41" s="3" t="s">
        <v>97</v>
      </c>
      <c r="E41" s="3"/>
      <c r="F41" s="3" t="s">
        <v>98</v>
      </c>
      <c r="G41" s="3" t="s">
        <v>28</v>
      </c>
      <c r="H41" s="3">
        <v>2.9999999999999997E-4</v>
      </c>
      <c r="I41" s="3"/>
      <c r="J41" s="3"/>
      <c r="K41" s="3"/>
      <c r="L41" s="3" t="s">
        <v>99</v>
      </c>
      <c r="M41" s="3"/>
    </row>
    <row r="42" spans="1:13" x14ac:dyDescent="0.25">
      <c r="A42" s="3"/>
      <c r="B42" s="3"/>
      <c r="C42" s="3"/>
      <c r="D42" s="3" t="s">
        <v>100</v>
      </c>
      <c r="E42" s="3"/>
      <c r="F42" s="3"/>
      <c r="G42" s="3" t="s">
        <v>28</v>
      </c>
      <c r="H42" s="3">
        <v>8.7999999999999998E-5</v>
      </c>
      <c r="I42" s="3"/>
      <c r="J42" s="3"/>
      <c r="K42" s="3"/>
      <c r="L42" s="3"/>
      <c r="M42" s="3"/>
    </row>
    <row r="43" spans="1:13" x14ac:dyDescent="0.25">
      <c r="A43" s="3"/>
      <c r="B43" s="3"/>
      <c r="C43" s="3"/>
      <c r="D43" s="3" t="s">
        <v>101</v>
      </c>
      <c r="E43" s="3"/>
      <c r="F43" s="3"/>
      <c r="G43" s="3" t="s">
        <v>28</v>
      </c>
      <c r="H43" s="3">
        <v>8.7999999999999998E-5</v>
      </c>
      <c r="I43" s="3"/>
      <c r="J43" s="3"/>
      <c r="K43" s="3"/>
      <c r="L43" s="3"/>
      <c r="M43" s="3"/>
    </row>
    <row r="44" spans="1:13" x14ac:dyDescent="0.25">
      <c r="A44" s="3"/>
      <c r="B44" s="3"/>
      <c r="C44" s="3"/>
      <c r="D44" s="3" t="s">
        <v>102</v>
      </c>
      <c r="E44" s="3"/>
      <c r="F44" s="3"/>
      <c r="G44" s="3" t="s">
        <v>28</v>
      </c>
      <c r="H44" s="3">
        <v>1.8699999999999999E-4</v>
      </c>
      <c r="I44" s="3"/>
      <c r="J44" s="3"/>
      <c r="K44" s="3"/>
      <c r="L44" s="3"/>
      <c r="M44" s="3"/>
    </row>
    <row r="45" spans="1:13" x14ac:dyDescent="0.25">
      <c r="A45" s="3"/>
      <c r="B45" s="3"/>
      <c r="C45" s="3"/>
      <c r="D45" s="3" t="s">
        <v>103</v>
      </c>
      <c r="E45" s="3"/>
      <c r="F45" s="3"/>
      <c r="G45" s="3" t="s">
        <v>28</v>
      </c>
      <c r="H45" s="3">
        <v>0</v>
      </c>
      <c r="I45" s="3"/>
      <c r="J45" s="3"/>
      <c r="K45" s="3"/>
      <c r="L45" s="3"/>
      <c r="M45" s="3"/>
    </row>
    <row r="46" spans="1:13" x14ac:dyDescent="0.25">
      <c r="A46" s="3"/>
      <c r="B46" s="3"/>
      <c r="C46" s="3"/>
      <c r="D46" s="3" t="s">
        <v>104</v>
      </c>
      <c r="E46" s="3"/>
      <c r="F46" s="3"/>
      <c r="G46" s="3" t="s">
        <v>28</v>
      </c>
      <c r="H46" s="3">
        <v>0</v>
      </c>
      <c r="I46" s="3"/>
      <c r="J46" s="3"/>
      <c r="K46" s="3"/>
      <c r="L46" s="3"/>
      <c r="M46" s="3"/>
    </row>
    <row r="47" spans="1:13" x14ac:dyDescent="0.25">
      <c r="A47" s="3"/>
      <c r="B47" s="3"/>
      <c r="C47" s="3"/>
      <c r="D47" s="3" t="s">
        <v>105</v>
      </c>
      <c r="E47" s="3"/>
      <c r="F47" s="3"/>
      <c r="G47" s="3" t="s">
        <v>28</v>
      </c>
      <c r="H47" s="3">
        <v>0</v>
      </c>
      <c r="I47" s="3"/>
      <c r="J47" s="3"/>
      <c r="K47" s="3"/>
      <c r="L47" s="3"/>
      <c r="M47" s="3"/>
    </row>
    <row r="48" spans="1:13" x14ac:dyDescent="0.25">
      <c r="A48" s="3" t="s">
        <v>9</v>
      </c>
      <c r="B48" s="3" t="s">
        <v>10</v>
      </c>
      <c r="C48" s="3"/>
      <c r="D48" s="3" t="s">
        <v>106</v>
      </c>
      <c r="E48" s="3"/>
      <c r="F48" s="3" t="s">
        <v>107</v>
      </c>
      <c r="G48" s="3" t="s">
        <v>108</v>
      </c>
      <c r="H48" s="3">
        <v>84000</v>
      </c>
      <c r="I48" s="3">
        <v>7680</v>
      </c>
      <c r="J48" s="5">
        <v>28799.999999999996</v>
      </c>
      <c r="K48" s="5">
        <v>213600.00000000003</v>
      </c>
      <c r="L48" s="3" t="s">
        <v>109</v>
      </c>
      <c r="M48" s="3"/>
    </row>
    <row r="49" spans="1:13" x14ac:dyDescent="0.25">
      <c r="A49" s="3" t="s">
        <v>9</v>
      </c>
      <c r="B49" s="3" t="s">
        <v>10</v>
      </c>
      <c r="C49" s="3"/>
      <c r="D49" s="3" t="s">
        <v>110</v>
      </c>
      <c r="E49" s="3"/>
      <c r="F49" s="3" t="s">
        <v>111</v>
      </c>
      <c r="G49" s="3" t="s">
        <v>48</v>
      </c>
      <c r="H49" s="3">
        <v>23</v>
      </c>
      <c r="I49" s="3">
        <v>1</v>
      </c>
      <c r="J49" s="3"/>
      <c r="K49" s="3"/>
      <c r="L49" s="3" t="s">
        <v>112</v>
      </c>
      <c r="M49" s="3"/>
    </row>
    <row r="50" spans="1:13" x14ac:dyDescent="0.25">
      <c r="A50" s="3" t="s">
        <v>9</v>
      </c>
      <c r="B50" s="3" t="s">
        <v>10</v>
      </c>
      <c r="C50" s="3"/>
      <c r="D50" s="3" t="s">
        <v>113</v>
      </c>
      <c r="E50" s="3"/>
      <c r="F50" s="3" t="s">
        <v>114</v>
      </c>
      <c r="G50" s="3" t="s">
        <v>51</v>
      </c>
      <c r="H50" s="6">
        <f>0.05*24</f>
        <v>1.2000000000000002</v>
      </c>
      <c r="I50" s="7">
        <f>0.02*24</f>
        <v>0.48</v>
      </c>
      <c r="J50" s="8">
        <f>0.001*24</f>
        <v>2.4E-2</v>
      </c>
      <c r="K50" s="9">
        <f>0.1*24</f>
        <v>2.4000000000000004</v>
      </c>
      <c r="L50" s="3" t="s">
        <v>115</v>
      </c>
      <c r="M50" s="3"/>
    </row>
    <row r="51" spans="1:13" x14ac:dyDescent="0.25">
      <c r="A51" s="3"/>
      <c r="B51" s="3"/>
      <c r="C51" s="3"/>
      <c r="D51" s="3" t="s">
        <v>116</v>
      </c>
      <c r="E51" s="3"/>
      <c r="F51" s="3" t="s">
        <v>117</v>
      </c>
      <c r="G51" s="3" t="s">
        <v>54</v>
      </c>
      <c r="H51" s="10">
        <f>2.20833333333333E-06*24</f>
        <v>5.2999999999999919E-5</v>
      </c>
      <c r="I51" s="11">
        <f>4.16666666666667E-07*24</f>
        <v>1.0000000000000008E-5</v>
      </c>
      <c r="J51" s="11"/>
      <c r="K51" s="11"/>
      <c r="L51" s="3"/>
      <c r="M51" s="3"/>
    </row>
    <row r="52" spans="1:13" x14ac:dyDescent="0.25">
      <c r="A52" s="3" t="s">
        <v>9</v>
      </c>
      <c r="B52" s="3" t="s">
        <v>10</v>
      </c>
      <c r="C52" s="3"/>
      <c r="D52" s="3" t="s">
        <v>118</v>
      </c>
      <c r="E52" s="3"/>
      <c r="F52" s="3" t="s">
        <v>68</v>
      </c>
      <c r="G52" s="3" t="s">
        <v>51</v>
      </c>
      <c r="H52" s="3">
        <v>2.4E-2</v>
      </c>
      <c r="I52" s="3">
        <v>0.01</v>
      </c>
      <c r="J52" s="3">
        <v>4.4999999999999997E-3</v>
      </c>
      <c r="K52" s="3">
        <v>4.2000000000000003E-2</v>
      </c>
      <c r="L52" s="3" t="s">
        <v>119</v>
      </c>
      <c r="M52" s="3"/>
    </row>
    <row r="53" spans="1:13" x14ac:dyDescent="0.25">
      <c r="A53" s="3" t="s">
        <v>9</v>
      </c>
      <c r="B53" s="3" t="s">
        <v>10</v>
      </c>
      <c r="C53" s="3"/>
      <c r="D53" s="3" t="s">
        <v>120</v>
      </c>
      <c r="E53" s="3"/>
      <c r="F53" s="3" t="s">
        <v>68</v>
      </c>
      <c r="G53" s="3" t="s">
        <v>54</v>
      </c>
      <c r="H53" s="3">
        <v>2.77</v>
      </c>
      <c r="I53" s="3">
        <v>0.27</v>
      </c>
      <c r="J53" s="3"/>
      <c r="K53" s="3"/>
      <c r="L53" s="3" t="s">
        <v>121</v>
      </c>
      <c r="M53" s="3"/>
    </row>
    <row r="54" spans="1:13" x14ac:dyDescent="0.25">
      <c r="A54" s="3" t="s">
        <v>9</v>
      </c>
      <c r="B54" s="3" t="s">
        <v>10</v>
      </c>
      <c r="C54" s="3"/>
      <c r="D54" s="3" t="s">
        <v>122</v>
      </c>
      <c r="E54" s="3"/>
      <c r="F54" s="3" t="s">
        <v>68</v>
      </c>
      <c r="G54" s="3" t="s">
        <v>54</v>
      </c>
      <c r="H54" s="3">
        <v>0.21</v>
      </c>
      <c r="I54" s="3">
        <v>0.13</v>
      </c>
      <c r="J54" s="3"/>
      <c r="K54" s="3"/>
      <c r="L54" s="3" t="s">
        <v>123</v>
      </c>
      <c r="M54" s="3"/>
    </row>
    <row r="55" spans="1:13" s="2" customFormat="1" x14ac:dyDescent="0.25">
      <c r="A55" s="3" t="s">
        <v>9</v>
      </c>
      <c r="B55" s="3" t="s">
        <v>10</v>
      </c>
      <c r="C55" s="3"/>
      <c r="D55" s="3" t="s">
        <v>124</v>
      </c>
      <c r="E55" s="3"/>
      <c r="F55" s="3" t="s">
        <v>68</v>
      </c>
      <c r="G55" s="3" t="s">
        <v>54</v>
      </c>
      <c r="H55" s="3">
        <v>1.29</v>
      </c>
      <c r="I55" s="12">
        <v>7.0000000000000007E-2</v>
      </c>
      <c r="J55" s="3"/>
      <c r="K55" s="3"/>
      <c r="L55" s="3" t="s">
        <v>125</v>
      </c>
      <c r="M55" s="3"/>
    </row>
    <row r="56" spans="1:13" x14ac:dyDescent="0.25">
      <c r="A56" s="3" t="s">
        <v>9</v>
      </c>
      <c r="B56" s="3" t="s">
        <v>10</v>
      </c>
      <c r="C56" s="3"/>
      <c r="D56" s="3" t="s">
        <v>126</v>
      </c>
      <c r="E56" s="3"/>
      <c r="F56" s="3" t="s">
        <v>68</v>
      </c>
      <c r="G56" s="3" t="s">
        <v>54</v>
      </c>
      <c r="H56" s="3">
        <v>0.1</v>
      </c>
      <c r="I56" s="3">
        <v>0.03</v>
      </c>
      <c r="J56" s="3"/>
      <c r="K56" s="3"/>
      <c r="L56" s="3" t="s">
        <v>127</v>
      </c>
      <c r="M56" s="3"/>
    </row>
    <row r="57" spans="1:13" x14ac:dyDescent="0.25">
      <c r="A57" s="3" t="s">
        <v>9</v>
      </c>
      <c r="B57" s="3" t="s">
        <v>10</v>
      </c>
      <c r="C57" s="3"/>
      <c r="D57" s="3" t="s">
        <v>128</v>
      </c>
      <c r="E57" s="3"/>
      <c r="F57" s="3" t="s">
        <v>68</v>
      </c>
      <c r="G57" s="3" t="s">
        <v>54</v>
      </c>
      <c r="H57" s="3">
        <v>0.13</v>
      </c>
      <c r="I57" s="3">
        <v>0.13</v>
      </c>
      <c r="J57" s="3"/>
      <c r="K57" s="3"/>
      <c r="L57" s="3" t="s">
        <v>129</v>
      </c>
      <c r="M57" s="3"/>
    </row>
    <row r="58" spans="1:13" x14ac:dyDescent="0.25">
      <c r="A58" s="3" t="s">
        <v>9</v>
      </c>
      <c r="B58" s="3" t="s">
        <v>10</v>
      </c>
      <c r="C58" s="3"/>
      <c r="D58" s="3" t="s">
        <v>130</v>
      </c>
      <c r="E58" s="3"/>
      <c r="F58" s="3" t="s">
        <v>68</v>
      </c>
      <c r="G58" s="3" t="s">
        <v>54</v>
      </c>
      <c r="H58" s="3">
        <v>0.56000000000000005</v>
      </c>
      <c r="I58" s="3">
        <v>0.02</v>
      </c>
      <c r="J58" s="3"/>
      <c r="K58" s="3"/>
      <c r="L58" s="3" t="s">
        <v>131</v>
      </c>
      <c r="M58" s="3"/>
    </row>
    <row r="59" spans="1:13" x14ac:dyDescent="0.25">
      <c r="A59" s="3" t="s">
        <v>9</v>
      </c>
      <c r="B59" s="3" t="s">
        <v>10</v>
      </c>
      <c r="C59" s="3"/>
      <c r="D59" s="3" t="s">
        <v>132</v>
      </c>
      <c r="E59" s="3"/>
      <c r="F59" s="3" t="s">
        <v>68</v>
      </c>
      <c r="G59" s="3" t="s">
        <v>54</v>
      </c>
      <c r="H59" s="3">
        <v>4.21</v>
      </c>
      <c r="I59" s="3">
        <v>0.35</v>
      </c>
      <c r="J59" s="3"/>
      <c r="K59" s="3"/>
      <c r="L59" s="3" t="s">
        <v>133</v>
      </c>
      <c r="M59" s="3"/>
    </row>
    <row r="60" spans="1:13" x14ac:dyDescent="0.25">
      <c r="A60" s="3"/>
      <c r="B60" s="3" t="s">
        <v>10</v>
      </c>
      <c r="C60" s="3"/>
      <c r="D60" s="3" t="s">
        <v>134</v>
      </c>
      <c r="E60" s="3"/>
      <c r="F60" s="3"/>
      <c r="G60" s="3" t="s">
        <v>28</v>
      </c>
      <c r="H60" s="3">
        <v>4.8899999999999997</v>
      </c>
      <c r="I60" s="3"/>
      <c r="J60" s="3"/>
      <c r="K60" s="3"/>
      <c r="L60" s="3"/>
      <c r="M60" s="3"/>
    </row>
    <row r="61" spans="1:13" x14ac:dyDescent="0.25">
      <c r="A61" s="3"/>
      <c r="B61" s="3" t="s">
        <v>10</v>
      </c>
      <c r="C61" s="3"/>
      <c r="D61" s="3" t="s">
        <v>135</v>
      </c>
      <c r="E61" s="3"/>
      <c r="F61" s="3"/>
      <c r="G61" s="3" t="s">
        <v>28</v>
      </c>
      <c r="H61" s="3">
        <v>0.36</v>
      </c>
      <c r="I61" s="3"/>
      <c r="J61" s="3"/>
      <c r="K61" s="3"/>
      <c r="L61" s="3"/>
      <c r="M61" s="3"/>
    </row>
    <row r="62" spans="1:13" x14ac:dyDescent="0.25">
      <c r="A62" s="3"/>
      <c r="B62" s="3" t="s">
        <v>10</v>
      </c>
      <c r="C62" s="3"/>
      <c r="D62" s="3" t="s">
        <v>136</v>
      </c>
      <c r="E62" s="3"/>
      <c r="F62" s="3"/>
      <c r="G62" s="3" t="s">
        <v>28</v>
      </c>
      <c r="H62" s="3">
        <v>1.4999999999999999E-2</v>
      </c>
      <c r="I62" s="3"/>
      <c r="J62" s="3"/>
      <c r="K62" s="3"/>
      <c r="L62" s="3" t="s">
        <v>137</v>
      </c>
      <c r="M62" s="3"/>
    </row>
    <row r="63" spans="1:13" x14ac:dyDescent="0.25">
      <c r="A63" s="3"/>
      <c r="B63" s="3" t="s">
        <v>10</v>
      </c>
      <c r="C63" s="3"/>
      <c r="D63" s="3" t="s">
        <v>138</v>
      </c>
      <c r="E63" s="3"/>
      <c r="F63" s="3"/>
      <c r="G63" s="3" t="s">
        <v>28</v>
      </c>
      <c r="H63" s="3">
        <v>3.1E-2</v>
      </c>
      <c r="I63" s="3"/>
      <c r="J63" s="3"/>
      <c r="K63" s="3"/>
      <c r="L63" s="3" t="s">
        <v>139</v>
      </c>
      <c r="M63" s="3"/>
    </row>
    <row r="64" spans="1:13" x14ac:dyDescent="0.25">
      <c r="A64" s="3"/>
      <c r="B64" s="3"/>
      <c r="C64" s="3"/>
      <c r="D64" s="3" t="s">
        <v>140</v>
      </c>
      <c r="E64" s="3"/>
      <c r="F64" s="3"/>
      <c r="G64" s="3" t="s">
        <v>28</v>
      </c>
      <c r="H64" s="3">
        <v>0.8</v>
      </c>
      <c r="I64" s="3"/>
      <c r="J64" s="3"/>
      <c r="K64" s="3"/>
      <c r="L64" s="3"/>
      <c r="M64" s="3"/>
    </row>
    <row r="65" spans="1:13" x14ac:dyDescent="0.25">
      <c r="A65" s="3"/>
      <c r="B65" s="3"/>
      <c r="C65" s="3"/>
      <c r="D65" s="3" t="s">
        <v>141</v>
      </c>
      <c r="E65" s="3"/>
      <c r="F65" s="3"/>
      <c r="G65" s="3" t="s">
        <v>28</v>
      </c>
      <c r="H65" s="3">
        <v>0.39</v>
      </c>
      <c r="I65" s="3"/>
      <c r="J65" s="3"/>
      <c r="K65" s="3"/>
      <c r="L65" s="3"/>
      <c r="M65" s="3"/>
    </row>
    <row r="66" spans="1:13" x14ac:dyDescent="0.25">
      <c r="A66" s="3"/>
      <c r="B66" s="3"/>
      <c r="C66" s="3"/>
      <c r="D66" s="3" t="s">
        <v>142</v>
      </c>
      <c r="E66" s="3"/>
      <c r="F66" s="3"/>
      <c r="G66" s="3" t="s">
        <v>28</v>
      </c>
      <c r="H66" s="3">
        <v>0.61</v>
      </c>
      <c r="I66" s="3"/>
      <c r="J66" s="3"/>
      <c r="K66" s="3"/>
      <c r="L66" s="3"/>
      <c r="M66" s="3"/>
    </row>
    <row r="67" spans="1:13" x14ac:dyDescent="0.25">
      <c r="A67" s="3"/>
      <c r="B67" s="3"/>
      <c r="C67" s="3"/>
      <c r="D67" s="3" t="s">
        <v>143</v>
      </c>
      <c r="E67" s="3"/>
      <c r="F67" s="3"/>
      <c r="G67" s="3" t="s">
        <v>28</v>
      </c>
      <c r="H67" s="3">
        <v>0.99929853000000002</v>
      </c>
      <c r="I67" s="3"/>
      <c r="J67" s="3"/>
      <c r="K67" s="3"/>
      <c r="L67" s="3"/>
      <c r="M67" s="3"/>
    </row>
    <row r="68" spans="1:13" x14ac:dyDescent="0.25">
      <c r="A68" s="3"/>
      <c r="B68" s="3"/>
      <c r="C68" s="3"/>
      <c r="D68" s="3" t="s">
        <v>144</v>
      </c>
      <c r="E68" s="3"/>
      <c r="F68" s="3"/>
      <c r="G68" s="3" t="s">
        <v>28</v>
      </c>
      <c r="H68" s="3">
        <v>66.836076399999996</v>
      </c>
      <c r="I68" s="3"/>
      <c r="J68" s="3"/>
      <c r="K68" s="3"/>
      <c r="L68" s="3"/>
      <c r="M68" s="3"/>
    </row>
    <row r="69" spans="1:13" x14ac:dyDescent="0.25">
      <c r="A69" s="3"/>
      <c r="B69" s="3"/>
      <c r="C69" s="3"/>
      <c r="D69" s="3" t="s">
        <v>145</v>
      </c>
      <c r="E69" s="3"/>
      <c r="F69" s="3"/>
      <c r="G69" s="3" t="s">
        <v>28</v>
      </c>
      <c r="H69" s="3">
        <v>10.000151000000001</v>
      </c>
      <c r="I69" s="3"/>
      <c r="J69" s="3"/>
      <c r="K69" s="3"/>
      <c r="L69" s="3"/>
      <c r="M69" s="3"/>
    </row>
    <row r="70" spans="1:13" x14ac:dyDescent="0.25">
      <c r="A70" s="3"/>
      <c r="B70" s="3"/>
      <c r="C70" s="3"/>
      <c r="D70" s="3" t="s">
        <v>146</v>
      </c>
      <c r="E70" s="3"/>
      <c r="F70" s="3"/>
      <c r="G70" s="3" t="s">
        <v>28</v>
      </c>
      <c r="H70" s="3">
        <v>5.8857574599999998</v>
      </c>
      <c r="I70" s="3"/>
      <c r="J70" s="3"/>
      <c r="K70" s="3"/>
      <c r="L70" s="3"/>
      <c r="M70" s="3"/>
    </row>
    <row r="71" spans="1:13" x14ac:dyDescent="0.25">
      <c r="A71" s="3"/>
      <c r="B71" s="3"/>
      <c r="C71" s="3"/>
      <c r="D71" s="3" t="s">
        <v>147</v>
      </c>
      <c r="E71" s="3"/>
      <c r="F71" s="3"/>
      <c r="G71" s="3" t="s">
        <v>28</v>
      </c>
      <c r="H71" s="3">
        <v>4.5199999999999996</v>
      </c>
      <c r="I71" s="3"/>
      <c r="J71" s="3"/>
      <c r="K71" s="3"/>
      <c r="L71" s="3"/>
      <c r="M71" s="3"/>
    </row>
    <row r="72" spans="1:13" x14ac:dyDescent="0.25">
      <c r="A72" s="3"/>
      <c r="B72" s="3"/>
      <c r="C72" s="3"/>
      <c r="D72" s="3" t="s">
        <v>148</v>
      </c>
      <c r="E72" s="3"/>
      <c r="F72" s="3"/>
      <c r="G72" s="3" t="s">
        <v>28</v>
      </c>
      <c r="H72" s="3">
        <v>3.39</v>
      </c>
      <c r="I72" s="3"/>
      <c r="J72" s="3"/>
      <c r="K72" s="3"/>
      <c r="L72" s="3"/>
      <c r="M72" s="3"/>
    </row>
    <row r="73" spans="1:13" x14ac:dyDescent="0.25">
      <c r="A73" s="3"/>
      <c r="B73" s="3"/>
      <c r="C73" s="3"/>
      <c r="D73" s="3" t="s">
        <v>149</v>
      </c>
      <c r="E73" s="3"/>
      <c r="F73" s="3"/>
      <c r="G73" s="3" t="s">
        <v>28</v>
      </c>
      <c r="H73" s="3">
        <v>74.910879199999997</v>
      </c>
      <c r="I73" s="3"/>
      <c r="J73" s="3"/>
      <c r="K73" s="3"/>
      <c r="L73" s="3"/>
      <c r="M73" s="3"/>
    </row>
    <row r="74" spans="1:13" x14ac:dyDescent="0.25">
      <c r="A74" s="3"/>
      <c r="B74" s="3"/>
      <c r="C74" s="3"/>
      <c r="D74" s="3" t="s">
        <v>150</v>
      </c>
      <c r="E74" s="3"/>
      <c r="F74" s="3"/>
      <c r="G74" s="3" t="s">
        <v>28</v>
      </c>
      <c r="H74" s="3">
        <v>2.0960600000000001E-5</v>
      </c>
      <c r="I74" s="3"/>
      <c r="J74" s="3"/>
      <c r="K74" s="3"/>
      <c r="L74" s="3"/>
      <c r="M74" s="3"/>
    </row>
    <row r="75" spans="1:13" x14ac:dyDescent="0.25">
      <c r="A75" s="3"/>
      <c r="B75" s="3"/>
      <c r="C75" s="3"/>
      <c r="D75" s="3" t="s">
        <v>151</v>
      </c>
      <c r="E75" s="3"/>
      <c r="F75" s="3"/>
      <c r="G75" s="3" t="s">
        <v>28</v>
      </c>
      <c r="H75" s="3">
        <v>42.279107140000001</v>
      </c>
      <c r="I75" s="3"/>
      <c r="J75" s="3"/>
      <c r="K75" s="3"/>
      <c r="L75" s="3"/>
      <c r="M75" s="3"/>
    </row>
    <row r="76" spans="1:13" x14ac:dyDescent="0.25">
      <c r="A76" s="3"/>
      <c r="B76" s="3"/>
      <c r="C76" s="3"/>
      <c r="D76" s="3" t="s">
        <v>152</v>
      </c>
      <c r="E76" s="3"/>
      <c r="F76" s="3"/>
      <c r="G76" s="3" t="s">
        <v>28</v>
      </c>
      <c r="H76" s="3">
        <v>769.13474940000003</v>
      </c>
      <c r="I76" s="3"/>
      <c r="J76" s="3"/>
      <c r="K76" s="3"/>
      <c r="L76" s="3"/>
      <c r="M76" s="3"/>
    </row>
  </sheetData>
  <autoFilter ref="A1:M76" xr:uid="{00000000-0001-0000-0100-000000000000}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C8C87D38434D544A9416DA1AE9C1217" ma:contentTypeVersion="3" ma:contentTypeDescription="Vytvoří nový dokument" ma:contentTypeScope="" ma:versionID="ee7ee50cfba00ac06777ad9480b5aa35">
  <xsd:schema xmlns:xsd="http://www.w3.org/2001/XMLSchema" xmlns:xs="http://www.w3.org/2001/XMLSchema" xmlns:p="http://schemas.microsoft.com/office/2006/metadata/properties" xmlns:ns2="552a4e32-e292-4e84-b79f-aefc699ca0de" targetNamespace="http://schemas.microsoft.com/office/2006/metadata/properties" ma:root="true" ma:fieldsID="847c12b9f1d07d1711c7e51ed32689d2" ns2:_="">
    <xsd:import namespace="552a4e32-e292-4e84-b79f-aefc699ca0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a4e32-e292-4e84-b79f-aefc699ca0d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DEB976B-F49F-493F-82DD-B59D3053DB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52a4e32-e292-4e84-b79f-aefc699ca0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321C31B-FEA8-48E5-8044-B03A14F316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E88C6B4-595B-49EB-BB0C-4EE3D841E4E8}">
  <ds:schemaRefs>
    <ds:schemaRef ds:uri="http://schemas.microsoft.com/office/2006/metadata/properties"/>
    <ds:schemaRef ds:uri="http://schemas.microsoft.com/office/infopath/2007/PartnerControls"/>
  </ds:schemaRefs>
</ds:datastoreItem>
</file>

<file path=docMetadata/LabelInfo.xml><?xml version="1.0" encoding="utf-8"?>
<clbl:labelList xmlns:clbl="http://schemas.microsoft.com/office/2020/mipLabelMetadata">
  <clbl:label id="{11904f23-f0db-4cdc-96f7-390bd55fcee8}" enabled="0" method="" siteId="{11904f23-f0db-4cdc-96f7-390bd55fce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PbkModelInstances</vt:lpstr>
      <vt:lpstr>PbkModelInstanceParameters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Jiří Kalina</dc:creator>
  <cp:keywords/>
  <dc:description/>
  <cp:lastModifiedBy>Jiří Kalina</cp:lastModifiedBy>
  <cp:revision/>
  <dcterms:created xsi:type="dcterms:W3CDTF">2025-05-25T15:44:33Z</dcterms:created>
  <dcterms:modified xsi:type="dcterms:W3CDTF">2026-07-30T23:48:23Z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0x010100AC8C87D38434D544A9416DA1AE9C1217</vt:lpwstr>
  </property>
</Properties>
</file>
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irka\Environment\PARC\WP7\Task7.3\Task 7.3.2\Complete_reverse_modelling_jan_2026\Model version for production\"/>
    </mc:Choice>
  </mc:AlternateContent>
  <xr:revisionPtr revIDLastSave="0" documentId="8_{78DC449A-E695-4050-89E6-67F933EC899B}" xr6:coauthVersionLast="47" xr6:coauthVersionMax="47" xr10:uidLastSave="{00000000-0000-0000-0000-000000000000}"/>
  <bookViews>
    <workbookView xWindow="-120" yWindow="-120" windowWidth="29040" windowHeight="15540" firstSheet="1" activeTab="2" xr2:uid="{00000000-000D-0000-FFFF-FFFF00000000}"/>
  </bookViews>
  <sheets>
    <sheet name="PbkModelInstances" sheetId="1" r:id="rId1"/>
    <sheet name="PbkModelInstanceParameters" sheetId="2" r:id="rId2"/>
    <sheet name="Readme" sheetId="3" r:id="rId3"/>
  </sheets>
  <definedNames>
    <definedName name="_xlnm._FilterDatabase" localSheetId="1" hidden="1">PbkModelInstanceParameters!$A$1:$M$76</definedName>
    <definedName name="_xlnm._FilterDatabase" localSheetId="0" hidden="1">PbkModelInstances!$A$1:$E$1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2" l="1"/>
  <c r="J50" i="2"/>
  <c r="I51" i="2" l="1"/>
  <c r="H51" i="2"/>
  <c r="K50" i="2"/>
  <c r="H50" i="2"/>
</calcChain>
</file>

<file path=xl/sharedStrings.xml><?xml version="1.0" encoding="utf-8"?>
<sst xmlns="http://schemas.openxmlformats.org/spreadsheetml/2006/main" count="392" uniqueCount="226">
  <si>
    <t>idModelInstance</t>
  </si>
  <si>
    <t>idModelDefinition</t>
  </si>
  <si>
    <t>Species</t>
  </si>
  <si>
    <t>Substances</t>
  </si>
  <si>
    <t>Reference</t>
  </si>
  <si>
    <t>PFOS_Human_PARC_CS_Unc</t>
  </si>
  <si>
    <t>PBK_PFAS</t>
  </si>
  <si>
    <t>Human</t>
  </si>
  <si>
    <t>PFOS</t>
  </si>
  <si>
    <t>Compound</t>
  </si>
  <si>
    <t>Sex</t>
  </si>
  <si>
    <t>Parameter</t>
  </si>
  <si>
    <t>Value</t>
  </si>
  <si>
    <t>Unit</t>
  </si>
  <si>
    <t>DistributionType</t>
  </si>
  <si>
    <t>Param1</t>
  </si>
  <si>
    <t>Param2</t>
  </si>
  <si>
    <t>Param3</t>
  </si>
  <si>
    <t>Param4</t>
  </si>
  <si>
    <t>Description</t>
  </si>
  <si>
    <t>age</t>
  </si>
  <si>
    <t>year</t>
  </si>
  <si>
    <t>const</t>
  </si>
  <si>
    <t>age (in years) at day of plasma sampling</t>
  </si>
  <si>
    <t>BW</t>
  </si>
  <si>
    <t>kg</t>
  </si>
  <si>
    <t>body weight</t>
  </si>
  <si>
    <t>height</t>
  </si>
  <si>
    <t>cm</t>
  </si>
  <si>
    <t>body height</t>
  </si>
  <si>
    <t>Gender</t>
  </si>
  <si>
    <t>F, M</t>
  </si>
  <si>
    <t>TSTART</t>
  </si>
  <si>
    <t>d</t>
  </si>
  <si>
    <t>start of modelled period</t>
  </si>
  <si>
    <t>TSTOP</t>
  </si>
  <si>
    <t>end of modelled period</t>
  </si>
  <si>
    <t>DT</t>
  </si>
  <si>
    <t>modelling time step</t>
  </si>
  <si>
    <t>exposure_duration</t>
  </si>
  <si>
    <t>duration of exposure</t>
  </si>
  <si>
    <t>age_start_occ_exp</t>
  </si>
  <si>
    <t>occupational exposure starting age (dermal and inhalation)</t>
  </si>
  <si>
    <t>age_stop_occ_exp</t>
  </si>
  <si>
    <t>occupational exposure stopping age (dermal and inhalation)</t>
  </si>
  <si>
    <t>age_start_menstruation</t>
  </si>
  <si>
    <t>age of menstruation start</t>
  </si>
  <si>
    <t>age_stop_menstruation</t>
  </si>
  <si>
    <t>age of menstruation end</t>
  </si>
  <si>
    <t>BWbirth</t>
  </si>
  <si>
    <t>body weight at birth</t>
  </si>
  <si>
    <t>MFV</t>
  </si>
  <si>
    <t>L/d</t>
  </si>
  <si>
    <t>norm</t>
  </si>
  <si>
    <t>menstrual fluid volume</t>
  </si>
  <si>
    <t>HR</t>
  </si>
  <si>
    <t>1/min</t>
  </si>
  <si>
    <t>truncnorm</t>
  </si>
  <si>
    <t>heart beat rate</t>
  </si>
  <si>
    <t>SDLun</t>
  </si>
  <si>
    <t>lnorm</t>
  </si>
  <si>
    <t>added standard deviation of the weight of lungs</t>
  </si>
  <si>
    <t>SDK</t>
  </si>
  <si>
    <t>added standard deviation of the weight of kidney</t>
  </si>
  <si>
    <t>SDInt</t>
  </si>
  <si>
    <t>added standard deviation of the weight of intestine</t>
  </si>
  <si>
    <t>SDL</t>
  </si>
  <si>
    <t>added standard deviation of the weight of liver</t>
  </si>
  <si>
    <t>SDSk</t>
  </si>
  <si>
    <t>added standard deviation of the weight of skin</t>
  </si>
  <si>
    <t>SDAdi</t>
  </si>
  <si>
    <t>SDB</t>
  </si>
  <si>
    <t>added standard deviation of the weight of blood</t>
  </si>
  <si>
    <t>QfilC</t>
  </si>
  <si>
    <t>fraction of kidney plasma flow to filtrate</t>
  </si>
  <si>
    <t>Htc</t>
  </si>
  <si>
    <t>hematocrit</t>
  </si>
  <si>
    <t>VplasC</t>
  </si>
  <si>
    <t>L/kg</t>
  </si>
  <si>
    <t>fraction plasma volume</t>
  </si>
  <si>
    <t>VartC</t>
  </si>
  <si>
    <t>fraction of arterial blood</t>
  </si>
  <si>
    <t>VvenC</t>
  </si>
  <si>
    <t>fraction of venous blood</t>
  </si>
  <si>
    <t>SkinThickness</t>
  </si>
  <si>
    <t>skin thickness</t>
  </si>
  <si>
    <t>fss</t>
  </si>
  <si>
    <t>fractional skin storage</t>
  </si>
  <si>
    <t>hsc</t>
  </si>
  <si>
    <t>thickness of stratum corneum</t>
  </si>
  <si>
    <t>hve</t>
  </si>
  <si>
    <t>thickness of viable epidermis</t>
  </si>
  <si>
    <t>ffatsc</t>
  </si>
  <si>
    <t>fraction of fat in stratum corneum</t>
  </si>
  <si>
    <t>ffatve</t>
  </si>
  <si>
    <t>fraction of fat in viable epidermis</t>
  </si>
  <si>
    <t>ffatepi</t>
  </si>
  <si>
    <t>fraction of fat in epidermis</t>
  </si>
  <si>
    <t>ffatbl</t>
  </si>
  <si>
    <t>fraction of fat in blood</t>
  </si>
  <si>
    <t>Kpcell</t>
  </si>
  <si>
    <t>cm/h</t>
  </si>
  <si>
    <t>cell membrane partition kinetic constant</t>
  </si>
  <si>
    <t>Drinkrate</t>
  </si>
  <si>
    <t>mL/kg/d</t>
  </si>
  <si>
    <t>drink rate</t>
  </si>
  <si>
    <t>MW</t>
  </si>
  <si>
    <t>g/mol</t>
  </si>
  <si>
    <t>molar weight</t>
  </si>
  <si>
    <t>logP</t>
  </si>
  <si>
    <t>VP</t>
  </si>
  <si>
    <t>kg/m/s^2</t>
  </si>
  <si>
    <t>vapor pressure</t>
  </si>
  <si>
    <t>Kpve</t>
  </si>
  <si>
    <t>partition coefficient for viable epidermis</t>
  </si>
  <si>
    <t>Kpsc</t>
  </si>
  <si>
    <t>partition coefficient for stratum corneum</t>
  </si>
  <si>
    <t>Oralexpo</t>
  </si>
  <si>
    <t>ng/kg/d</t>
  </si>
  <si>
    <t>oral exposure</t>
  </si>
  <si>
    <t>Drinkconc</t>
  </si>
  <si>
    <t>ng/L</t>
  </si>
  <si>
    <t>drink concentration</t>
  </si>
  <si>
    <t>Cinh</t>
  </si>
  <si>
    <t>ng/m^3</t>
  </si>
  <si>
    <t>for this model, dermal &amp; inhalation exposures are excluded</t>
  </si>
  <si>
    <t>Cdermal</t>
  </si>
  <si>
    <t>Tmc</t>
  </si>
  <si>
    <t>μg/d/kg^0.75</t>
  </si>
  <si>
    <t>trunclnorm</t>
  </si>
  <si>
    <t>maximum resorption rate</t>
  </si>
  <si>
    <t>Kt</t>
  </si>
  <si>
    <t>μg/L</t>
  </si>
  <si>
    <t>resorption affinity</t>
  </si>
  <si>
    <t>kurinec</t>
  </si>
  <si>
    <t>1/d.kg^0.25</t>
  </si>
  <si>
    <t>urinary elimination rate constant</t>
  </si>
  <si>
    <t>CLfaeces</t>
  </si>
  <si>
    <t>L/kg/d</t>
  </si>
  <si>
    <t>fecal clearance</t>
  </si>
  <si>
    <t>Free</t>
  </si>
  <si>
    <t>free fraction in plasma</t>
  </si>
  <si>
    <t>PL</t>
  </si>
  <si>
    <t>partition coefficient liver/plasma</t>
  </si>
  <si>
    <t>PF</t>
  </si>
  <si>
    <t>partition coefficient fat/plasma</t>
  </si>
  <si>
    <t>PK</t>
  </si>
  <si>
    <t>partition coefficient kidney/plasma</t>
  </si>
  <si>
    <t>PSk</t>
  </si>
  <si>
    <t>partition coefficient skin/plasma</t>
  </si>
  <si>
    <t>PR</t>
  </si>
  <si>
    <t>partition coefficient rest-of-body/plasma</t>
  </si>
  <si>
    <t>PG</t>
  </si>
  <si>
    <t>partition coefficient gut/plasma</t>
  </si>
  <si>
    <t>PLun</t>
  </si>
  <si>
    <t>partition coefficient lung/plasma</t>
  </si>
  <si>
    <t>maternal</t>
  </si>
  <si>
    <t>maternal milk concentration</t>
  </si>
  <si>
    <t>PT</t>
  </si>
  <si>
    <t>placental transfer factor</t>
  </si>
  <si>
    <t>Ratio</t>
  </si>
  <si>
    <t>milk concentration/maternal serum concentration during breastfeeding</t>
  </si>
  <si>
    <t>DECLINE</t>
  </si>
  <si>
    <t>1/month</t>
  </si>
  <si>
    <t>decline of concentration in milk was 7.7% per month</t>
  </si>
  <si>
    <t>Milkconsumption</t>
  </si>
  <si>
    <t>maternal milk consumption</t>
  </si>
  <si>
    <t>Aartbirth</t>
  </si>
  <si>
    <t>ng</t>
  </si>
  <si>
    <t>amount of PFAS in arterial blood at birth</t>
  </si>
  <si>
    <t>Avenbirth</t>
  </si>
  <si>
    <t>amount of PFAS in venous blood at birth</t>
  </si>
  <si>
    <t>AGbirth</t>
  </si>
  <si>
    <t>amount of PFAS in intestine at birth</t>
  </si>
  <si>
    <t>ALbirth</t>
  </si>
  <si>
    <t>amount of PFAS in liver at birth</t>
  </si>
  <si>
    <t>AFbirth</t>
  </si>
  <si>
    <t>amount of PFAS in adipose tissue at birth</t>
  </si>
  <si>
    <t>AKbirth</t>
  </si>
  <si>
    <t>amount of PFAS in kidney at birth</t>
  </si>
  <si>
    <t>ALunbirth</t>
  </si>
  <si>
    <t>amount of PFAS in lungs at birth</t>
  </si>
  <si>
    <t>ASkbirth</t>
  </si>
  <si>
    <t>amount of PFAS in skin at birth</t>
  </si>
  <si>
    <t>ARbirth</t>
  </si>
  <si>
    <t>amount of PFAS in rest of the body at birth</t>
  </si>
  <si>
    <t>Afilbirth</t>
  </si>
  <si>
    <t>amount of PFAS in filtrate at birth</t>
  </si>
  <si>
    <t>Adelaybirth</t>
  </si>
  <si>
    <t>amount of PFAS in urine between glomerular filtration and excretion at birth</t>
  </si>
  <si>
    <t>Aurinebirth</t>
  </si>
  <si>
    <t>amount of PFAS in urine at birth</t>
  </si>
  <si>
    <t>PBK modeling of PFASs with a probabilistic approach: Addressing  uncertainty in risk estimation</t>
  </si>
  <si>
    <r>
      <t>Jiří Kalina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 Jiří Komprda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 Daria Sapunova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 xml:space="preserve">, </t>
    </r>
    <r>
      <rPr>
        <sz val="12"/>
        <color theme="1"/>
        <rFont val="Aptos"/>
        <family val="2"/>
      </rPr>
      <t>Carolina Vogs</t>
    </r>
    <r>
      <rPr>
        <vertAlign val="superscript"/>
        <sz val="11"/>
        <color theme="1"/>
        <rFont val="Aptos"/>
        <family val="2"/>
      </rPr>
      <t>2,3</t>
    </r>
    <r>
      <rPr>
        <sz val="11"/>
        <color theme="1"/>
        <rFont val="Aptos"/>
        <family val="2"/>
      </rPr>
      <t>, Deepika Deepika</t>
    </r>
    <r>
      <rPr>
        <vertAlign val="superscript"/>
        <sz val="11"/>
        <color theme="1"/>
        <rFont val="Aptos"/>
        <family val="2"/>
      </rPr>
      <t>4,5</t>
    </r>
    <r>
      <rPr>
        <sz val="11"/>
        <color theme="1"/>
        <rFont val="Aptos"/>
        <family val="2"/>
      </rPr>
      <t xml:space="preserve">, Vikas Kumar </t>
    </r>
    <r>
      <rPr>
        <vertAlign val="superscript"/>
        <sz val="11"/>
        <color theme="1"/>
        <rFont val="Aptos"/>
        <family val="2"/>
      </rPr>
      <t>4,5</t>
    </r>
    <r>
      <rPr>
        <sz val="11"/>
        <color theme="1"/>
        <rFont val="Aptos"/>
        <family val="2"/>
      </rPr>
      <t>, Joost Westerhout</t>
    </r>
    <r>
      <rPr>
        <vertAlign val="superscript"/>
        <sz val="11"/>
        <color theme="1"/>
        <rFont val="Aptos"/>
        <family val="2"/>
      </rPr>
      <t>6</t>
    </r>
    <r>
      <rPr>
        <sz val="11"/>
        <color theme="1"/>
        <rFont val="Aptos"/>
        <family val="2"/>
      </rPr>
      <t>, Aude Ratier</t>
    </r>
    <r>
      <rPr>
        <vertAlign val="superscript"/>
        <sz val="11"/>
        <color theme="1"/>
        <rFont val="Aptos"/>
        <family val="2"/>
      </rPr>
      <t>7,8</t>
    </r>
    <r>
      <rPr>
        <sz val="11"/>
        <color theme="1"/>
        <rFont val="Aptos"/>
        <family val="2"/>
      </rPr>
      <t>, Chrysanthi Pachoulide</t>
    </r>
    <r>
      <rPr>
        <vertAlign val="superscript"/>
        <sz val="11"/>
        <color theme="1"/>
        <rFont val="Aptos"/>
        <family val="2"/>
      </rPr>
      <t>9</t>
    </r>
    <r>
      <rPr>
        <sz val="11"/>
        <color theme="1"/>
        <rFont val="Aptos"/>
        <family val="2"/>
      </rPr>
      <t>, Johannes Kruisselbrink</t>
    </r>
    <r>
      <rPr>
        <vertAlign val="superscript"/>
        <sz val="11"/>
        <color theme="1"/>
        <rFont val="Aptos"/>
        <family val="2"/>
      </rPr>
      <t>10</t>
    </r>
    <r>
      <rPr>
        <sz val="11"/>
        <color theme="1"/>
        <rFont val="Aptos"/>
        <family val="2"/>
      </rPr>
      <t>, Jasper Engel</t>
    </r>
    <r>
      <rPr>
        <vertAlign val="superscript"/>
        <sz val="11"/>
        <color theme="1"/>
        <rFont val="Aptos"/>
        <family val="2"/>
      </rPr>
      <t>10</t>
    </r>
    <r>
      <rPr>
        <sz val="11"/>
        <color theme="1"/>
        <rFont val="Aptos"/>
        <family val="2"/>
      </rPr>
      <t>, Tony Fletcher</t>
    </r>
    <r>
      <rPr>
        <vertAlign val="superscript"/>
        <sz val="11"/>
        <color theme="1"/>
        <rFont val="Aptos"/>
        <family val="2"/>
      </rPr>
      <t xml:space="preserve"> 11</t>
    </r>
    <r>
      <rPr>
        <sz val="11"/>
        <color theme="1"/>
        <rFont val="Aptos"/>
        <family val="2"/>
      </rPr>
      <t>, Axel G. Andersson</t>
    </r>
    <r>
      <rPr>
        <vertAlign val="superscript"/>
        <sz val="11"/>
        <color theme="1"/>
        <rFont val="Aptos"/>
        <family val="2"/>
      </rPr>
      <t>12</t>
    </r>
    <r>
      <rPr>
        <sz val="11"/>
        <color theme="1"/>
        <rFont val="Aptos"/>
        <family val="2"/>
      </rPr>
      <t>,Pavel Piler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</t>
    </r>
    <r>
      <rPr>
        <vertAlign val="superscript"/>
        <sz val="11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Petr Šenk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 Klára Komprdová</t>
    </r>
    <r>
      <rPr>
        <vertAlign val="superscript"/>
        <sz val="11"/>
        <color theme="1"/>
        <rFont val="Aptos"/>
        <family val="2"/>
      </rPr>
      <t>1*</t>
    </r>
  </si>
  <si>
    <r>
      <t>1</t>
    </r>
    <r>
      <rPr>
        <sz val="11"/>
        <color theme="1"/>
        <rFont val="Aptos"/>
        <family val="2"/>
      </rPr>
      <t xml:space="preserve"> RECETOX, Faculty of Science, Masaryk University, Kotlarska 2, Brno, Czech Republic</t>
    </r>
  </si>
  <si>
    <r>
      <rPr>
        <vertAlign val="superscript"/>
        <sz val="11"/>
        <color theme="1"/>
        <rFont val="Aptos"/>
        <family val="2"/>
      </rPr>
      <t xml:space="preserve">2 </t>
    </r>
    <r>
      <rPr>
        <sz val="11"/>
        <color theme="1"/>
        <rFont val="Aptos"/>
        <family val="2"/>
      </rPr>
      <t>Department of Animal Biosciences, Swedish University of Agricultural Science (SLU), Uppsala, Sweden</t>
    </r>
  </si>
  <si>
    <r>
      <t>3</t>
    </r>
    <r>
      <rPr>
        <sz val="11"/>
        <color theme="1"/>
        <rFont val="Aptos"/>
        <family val="2"/>
      </rPr>
      <t xml:space="preserve"> Institute of Environmental Medicine, Karolinska Institutet, Stockholm, Sweden</t>
    </r>
  </si>
  <si>
    <r>
      <t>4</t>
    </r>
    <r>
      <rPr>
        <sz val="11"/>
        <color theme="1"/>
        <rFont val="Aptos"/>
        <family val="2"/>
      </rPr>
      <t xml:space="preserve"> Institut de Recerca Biomèdica Catalunya Sud (IRBCatSud), Department of Chemical Engineering, Universitat Rovira i Virgili (URV), Tarragona, Spain</t>
    </r>
  </si>
  <si>
    <r>
      <t>5</t>
    </r>
    <r>
      <rPr>
        <sz val="11"/>
        <color theme="1"/>
        <rFont val="Aptos"/>
        <family val="2"/>
      </rPr>
      <t xml:space="preserve"> German Federal Institute for Risk Assessment (BfR), Department of Pesticides Safety, Max-Dohrn-Str. 8-10, 10589, Berlin, Germany</t>
    </r>
  </si>
  <si>
    <r>
      <t>6</t>
    </r>
    <r>
      <rPr>
        <sz val="11"/>
        <color rgb="FF212121"/>
        <rFont val="Aptos"/>
        <family val="2"/>
      </rPr>
      <t xml:space="preserve"> National Institute for Public Health and the Environment (RIVM), Center for Prevention, Lifestyle and Health, Bilthoven, Netherlands.</t>
    </r>
  </si>
  <si>
    <r>
      <t>7</t>
    </r>
    <r>
      <rPr>
        <sz val="11"/>
        <color theme="1"/>
        <rFont val="Aptos"/>
        <family val="2"/>
      </rPr>
      <t xml:space="preserve"> INERIS, Unit of new approaches and models for Human health and environmental safety, Verneuil-en-Halatte, France </t>
    </r>
  </si>
  <si>
    <r>
      <t>8</t>
    </r>
    <r>
      <rPr>
        <sz val="11"/>
        <color theme="1"/>
        <rFont val="Aptos"/>
        <family val="2"/>
      </rPr>
      <t xml:space="preserve"> PériTox Laboratory, UMR-I 01 INERIS, Université de Picardie Jules Verne, Amiens, France</t>
    </r>
  </si>
  <si>
    <r>
      <t>9</t>
    </r>
    <r>
      <rPr>
        <sz val="11"/>
        <color theme="1"/>
        <rFont val="Aptos"/>
        <family val="2"/>
      </rPr>
      <t xml:space="preserve"> Division of Toxicology, Wageningen University and Research, Wageningen, Netherlands</t>
    </r>
  </si>
  <si>
    <r>
      <t>10</t>
    </r>
    <r>
      <rPr>
        <sz val="11"/>
        <color rgb="FF212121"/>
        <rFont val="Aptos"/>
        <family val="2"/>
      </rPr>
      <t xml:space="preserve"> Mathematical &amp; Statistical Methods group (Biometris), Wageningen University &amp; Research, Droevendaalsesteeg 1, 6708 PB, Wageningen, The Netherlands</t>
    </r>
  </si>
  <si>
    <r>
      <t xml:space="preserve">11 </t>
    </r>
    <r>
      <rPr>
        <sz val="11"/>
        <color rgb="FF000000"/>
        <rFont val="Calibri"/>
        <family val="2"/>
        <charset val="238"/>
      </rPr>
      <t>Department of Public Health, Environments &amp; Society, London School of Hygiene &amp; Tropical Medicine, London, UK</t>
    </r>
  </si>
  <si>
    <r>
      <t xml:space="preserve">12 </t>
    </r>
    <r>
      <rPr>
        <sz val="11"/>
        <color rgb="FF000000"/>
        <rFont val="Calibri"/>
        <family val="2"/>
        <charset val="238"/>
      </rPr>
      <t>School of Public Health and Community Medicine, Institute of Medicine, Sahlgrenska Academy, University of Gothenburg, Gothenburg, Sweden</t>
    </r>
  </si>
  <si>
    <t>This file scenario_iv_pfos.xlsx is used as parametrization of the lifeime PBK model (pfas_pbk_lifetime_model.R) It contains following lists:</t>
  </si>
  <si>
    <r>
      <rPr>
        <b/>
        <sz val="11"/>
        <color theme="1"/>
        <rFont val="Calibri"/>
        <family val="2"/>
        <charset val="238"/>
        <scheme val="minor"/>
      </rPr>
      <t>PbkModelInstances</t>
    </r>
    <r>
      <rPr>
        <sz val="11"/>
        <color theme="1"/>
        <rFont val="Calibri"/>
        <family val="2"/>
        <scheme val="minor"/>
      </rPr>
      <t xml:space="preserve"> which contains a list of instances with following variables:</t>
    </r>
  </si>
  <si>
    <t>code of the model instance</t>
  </si>
  <si>
    <t>code of the model</t>
  </si>
  <si>
    <t>biological species</t>
  </si>
  <si>
    <t>substance of the instance (PFOA or PFOS)</t>
  </si>
  <si>
    <t>optional reference(s)</t>
  </si>
  <si>
    <r>
      <rPr>
        <b/>
        <sz val="11"/>
        <color theme="1"/>
        <rFont val="Calibri"/>
        <family val="2"/>
        <charset val="238"/>
        <scheme val="minor"/>
      </rPr>
      <t>PbkModelInstanceParameters</t>
    </r>
    <r>
      <rPr>
        <sz val="11"/>
        <color theme="1"/>
        <rFont val="Calibri"/>
        <family val="2"/>
        <scheme val="minor"/>
      </rPr>
      <t xml:space="preserve"> which contains a list of model parameters with following variables:</t>
    </r>
  </si>
  <si>
    <t>code of the model instance (if needed), empty cells are applicable on all instances</t>
  </si>
  <si>
    <t>PFOS/PFOA</t>
  </si>
  <si>
    <t>sex of the individual, "F" or "M" (optional)</t>
  </si>
  <si>
    <t>name of the parameter as used in the model code</t>
  </si>
  <si>
    <t>value in case of a deterministic input (not to be used)</t>
  </si>
  <si>
    <t>physical unit of the parameter</t>
  </si>
  <si>
    <t>name of a statisticl distribution (as in R language) used for the simulation</t>
  </si>
  <si>
    <t>1st parameter of the statistical distribution (unique value in case of deterministic distribution, minimum in case of uniform or central value in case of other distributions)</t>
  </si>
  <si>
    <t>2nd parameter of the statistical distribution (maximum in case of uniform, dispersion paramater in case of other distributions)</t>
  </si>
  <si>
    <t>3rd parameter of the statistical distribution (minimum in case of truncated distributions)</t>
  </si>
  <si>
    <t>4th parameter of the statistical distribution (maximum in case of truncated distributions)</t>
  </si>
  <si>
    <t>detailed description of the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</si>
</sst>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"/>
    <numFmt numFmtId="166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  <charset val="238"/>
      <scheme val="minor"/>
    </font>
    <font>
      <sz val="11"/>
      <name val="Aptos Narrow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4"/>
      <color theme="1"/>
      <name val="Aptos"/>
      <family val="2"/>
    </font>
    <font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sz val="12"/>
      <color theme="1"/>
      <name val="Aptos"/>
      <family val="2"/>
    </font>
    <font>
      <vertAlign val="superscript"/>
      <sz val="11"/>
      <color rgb="FF212121"/>
      <name val="Aptos"/>
      <family val="2"/>
    </font>
    <font>
      <sz val="11"/>
      <color rgb="FF212121"/>
      <name val="Aptos"/>
      <family val="2"/>
    </font>
    <font>
      <sz val="11"/>
      <color rgb="FF000000"/>
      <name val="Calibri"/>
      <family val="2"/>
      <charset val="238"/>
    </font>
    <font>
      <vertAlign val="superscript"/>
      <sz val="11"/>
      <color rgb="FF000000"/>
      <name val="Calibri"/>
      <family val="2"/>
      <charset val="238"/>
    </font>
    <font>
      <sz val="8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right" vertical="top" wrapText="1"/>
    </xf>
    <xf numFmtId="0" fontId="6" fillId="0" borderId="0" xfId="0" applyFont="1" applyAlignment="1">
      <alignment horizontal="right"/>
    </xf>
    <xf numFmtId="11" fontId="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0" xfId="0" applyFont="1"/>
    <xf numFmtId="0" fontId="6" fillId="0" borderId="0" xfId="1" applyFont="1" applyAlignment="1">
      <alignment horizontal="right" vertical="center"/>
    </xf>
  </cellXfs>
  <cellStyles count="2">
    <cellStyle name="Normální" xfId="0" builtinId="0"/>
    <cellStyle name="Normální_List1" xfId="1" xr:uid="{421EB85E-F71D-405F-B179-C2DD8208C2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cols>
    <col min="1" max="1" width="27.42578125" bestFit="1" customWidth="1"/>
    <col min="2" max="2" width="20.140625" bestFit="1" customWidth="1"/>
    <col min="3" max="3" width="10" bestFit="1" customWidth="1"/>
    <col min="4" max="4" width="13.140625" bestFit="1" customWidth="1"/>
    <col min="5" max="5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opLeftCell="E1" zoomScaleNormal="100" workbookViewId="0">
      <selection activeCell="L1" sqref="L1"/>
    </sheetView>
  </sheetViews>
  <sheetFormatPr defaultRowHeight="15" x14ac:dyDescent="0.25"/>
  <cols>
    <col min="1" max="1" width="34.42578125" customWidth="1"/>
    <col min="2" max="2" width="13" bestFit="1" customWidth="1"/>
    <col min="3" max="3" width="7.28515625" bestFit="1" customWidth="1"/>
    <col min="4" max="4" width="22.5703125" style="11" bestFit="1" customWidth="1"/>
    <col min="5" max="5" width="8.42578125" bestFit="1" customWidth="1"/>
    <col min="6" max="6" width="14" style="11" bestFit="1" customWidth="1"/>
    <col min="7" max="7" width="18.28515625" bestFit="1" customWidth="1"/>
    <col min="8" max="11" width="16" style="16" customWidth="1"/>
    <col min="12" max="12" width="43" customWidth="1"/>
    <col min="13" max="13" width="36.42578125" customWidth="1"/>
  </cols>
  <sheetData>
    <row r="1" spans="1:13" x14ac:dyDescent="0.25">
      <c r="A1" s="1" t="s">
        <v>0</v>
      </c>
      <c r="B1" s="1" t="s">
        <v>9</v>
      </c>
      <c r="C1" s="1" t="s">
        <v>10</v>
      </c>
      <c r="D1" s="9" t="s">
        <v>11</v>
      </c>
      <c r="E1" s="1" t="s">
        <v>12</v>
      </c>
      <c r="F1" s="9" t="s">
        <v>13</v>
      </c>
      <c r="G1" s="1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" t="s">
        <v>19</v>
      </c>
      <c r="M1" s="1" t="s">
        <v>4</v>
      </c>
    </row>
    <row r="2" spans="1:13" x14ac:dyDescent="0.25">
      <c r="A2" s="3"/>
      <c r="B2" s="3"/>
      <c r="C2" s="3"/>
      <c r="D2" s="10" t="s">
        <v>20</v>
      </c>
      <c r="E2" s="3"/>
      <c r="F2" s="10" t="s">
        <v>21</v>
      </c>
      <c r="G2" s="3" t="s">
        <v>22</v>
      </c>
      <c r="H2" s="4"/>
      <c r="I2" s="4"/>
      <c r="J2" s="4"/>
      <c r="K2" s="4"/>
      <c r="L2" s="3" t="s">
        <v>23</v>
      </c>
      <c r="M2" s="3"/>
    </row>
    <row r="3" spans="1:13" x14ac:dyDescent="0.25">
      <c r="A3" s="3" t="s">
        <v>5</v>
      </c>
      <c r="B3" s="3"/>
      <c r="C3" s="3"/>
      <c r="D3" s="10" t="s">
        <v>24</v>
      </c>
      <c r="E3" s="3"/>
      <c r="F3" s="10" t="s">
        <v>25</v>
      </c>
      <c r="G3" s="3" t="s">
        <v>22</v>
      </c>
      <c r="H3" s="4"/>
      <c r="I3" s="4"/>
      <c r="J3" s="4"/>
      <c r="K3" s="4"/>
      <c r="L3" s="3" t="s">
        <v>26</v>
      </c>
      <c r="M3" s="3"/>
    </row>
    <row r="4" spans="1:13" x14ac:dyDescent="0.25">
      <c r="A4" s="3"/>
      <c r="B4" s="3"/>
      <c r="C4" s="3"/>
      <c r="D4" s="10" t="s">
        <v>27</v>
      </c>
      <c r="E4" s="3"/>
      <c r="F4" s="10" t="s">
        <v>28</v>
      </c>
      <c r="G4" s="3" t="s">
        <v>22</v>
      </c>
      <c r="H4" s="4"/>
      <c r="I4" s="4"/>
      <c r="J4" s="4"/>
      <c r="K4" s="4"/>
      <c r="L4" s="3" t="s">
        <v>29</v>
      </c>
      <c r="M4" s="3"/>
    </row>
    <row r="5" spans="1:13" x14ac:dyDescent="0.25">
      <c r="A5" s="3"/>
      <c r="B5" s="3"/>
      <c r="C5" s="3"/>
      <c r="D5" s="10" t="s">
        <v>30</v>
      </c>
      <c r="E5" s="3"/>
      <c r="F5" s="10"/>
      <c r="G5" s="3" t="s">
        <v>22</v>
      </c>
      <c r="H5" s="4"/>
      <c r="I5" s="4"/>
      <c r="J5" s="4"/>
      <c r="K5" s="4"/>
      <c r="L5" s="3" t="s">
        <v>31</v>
      </c>
      <c r="M5" s="3"/>
    </row>
    <row r="6" spans="1:13" x14ac:dyDescent="0.25">
      <c r="A6" s="3"/>
      <c r="B6" s="3"/>
      <c r="C6" s="3"/>
      <c r="D6" s="10" t="s">
        <v>32</v>
      </c>
      <c r="E6" s="3"/>
      <c r="F6" s="10" t="s">
        <v>33</v>
      </c>
      <c r="G6" s="3" t="s">
        <v>22</v>
      </c>
      <c r="H6" s="4">
        <v>0</v>
      </c>
      <c r="I6" s="4"/>
      <c r="J6" s="4"/>
      <c r="K6" s="4"/>
      <c r="L6" s="3" t="s">
        <v>34</v>
      </c>
      <c r="M6" s="3"/>
    </row>
    <row r="7" spans="1:13" x14ac:dyDescent="0.25">
      <c r="A7" s="3"/>
      <c r="B7" s="3"/>
      <c r="C7" s="3"/>
      <c r="D7" s="10" t="s">
        <v>35</v>
      </c>
      <c r="E7" s="3"/>
      <c r="F7" s="10" t="s">
        <v>33</v>
      </c>
      <c r="G7" s="3" t="s">
        <v>22</v>
      </c>
      <c r="H7" s="4">
        <v>10950</v>
      </c>
      <c r="I7" s="4"/>
      <c r="J7" s="4"/>
      <c r="K7" s="4"/>
      <c r="L7" s="3" t="s">
        <v>36</v>
      </c>
      <c r="M7" s="3"/>
    </row>
    <row r="8" spans="1:13" x14ac:dyDescent="0.25">
      <c r="A8" s="3"/>
      <c r="B8" s="3"/>
      <c r="C8" s="3"/>
      <c r="D8" s="10" t="s">
        <v>37</v>
      </c>
      <c r="E8" s="3"/>
      <c r="F8" s="10" t="s">
        <v>33</v>
      </c>
      <c r="G8" s="3" t="s">
        <v>22</v>
      </c>
      <c r="H8" s="4">
        <v>1</v>
      </c>
      <c r="I8" s="4"/>
      <c r="J8" s="4"/>
      <c r="K8" s="4"/>
      <c r="L8" s="3" t="s">
        <v>38</v>
      </c>
      <c r="M8" s="3"/>
    </row>
    <row r="9" spans="1:13" x14ac:dyDescent="0.25">
      <c r="A9" s="3"/>
      <c r="B9" s="3"/>
      <c r="C9" s="3"/>
      <c r="D9" s="10" t="s">
        <v>39</v>
      </c>
      <c r="E9" s="3"/>
      <c r="F9" s="10" t="s">
        <v>33</v>
      </c>
      <c r="G9" s="3" t="s">
        <v>22</v>
      </c>
      <c r="H9" s="4">
        <v>10950</v>
      </c>
      <c r="I9" s="4"/>
      <c r="J9" s="4"/>
      <c r="K9" s="4"/>
      <c r="L9" s="3" t="s">
        <v>40</v>
      </c>
      <c r="M9" s="3"/>
    </row>
    <row r="10" spans="1:13" x14ac:dyDescent="0.25">
      <c r="A10" s="3"/>
      <c r="B10" s="3"/>
      <c r="C10" s="3"/>
      <c r="D10" s="10" t="s">
        <v>41</v>
      </c>
      <c r="E10" s="3"/>
      <c r="F10" s="10" t="s">
        <v>21</v>
      </c>
      <c r="G10" s="3" t="s">
        <v>22</v>
      </c>
      <c r="H10" s="4">
        <v>0</v>
      </c>
      <c r="I10" s="4"/>
      <c r="J10" s="4"/>
      <c r="K10" s="4"/>
      <c r="L10" s="3" t="s">
        <v>42</v>
      </c>
      <c r="M10" s="3"/>
    </row>
    <row r="11" spans="1:13" x14ac:dyDescent="0.25">
      <c r="A11" s="3"/>
      <c r="B11" s="3"/>
      <c r="C11" s="3"/>
      <c r="D11" s="10" t="s">
        <v>43</v>
      </c>
      <c r="E11" s="3"/>
      <c r="F11" s="10" t="s">
        <v>21</v>
      </c>
      <c r="G11" s="3" t="s">
        <v>22</v>
      </c>
      <c r="H11" s="4">
        <v>0</v>
      </c>
      <c r="I11" s="4"/>
      <c r="J11" s="4"/>
      <c r="K11" s="4"/>
      <c r="L11" s="3" t="s">
        <v>44</v>
      </c>
      <c r="M11" s="3"/>
    </row>
    <row r="12" spans="1:13" x14ac:dyDescent="0.25">
      <c r="A12" s="3"/>
      <c r="B12" s="3"/>
      <c r="C12" s="3"/>
      <c r="D12" s="10" t="s">
        <v>45</v>
      </c>
      <c r="E12" s="3"/>
      <c r="F12" s="10" t="s">
        <v>21</v>
      </c>
      <c r="G12" s="3" t="s">
        <v>22</v>
      </c>
      <c r="H12" s="4">
        <v>14</v>
      </c>
      <c r="I12" s="4"/>
      <c r="J12" s="4"/>
      <c r="K12" s="4"/>
      <c r="L12" s="3" t="s">
        <v>46</v>
      </c>
      <c r="M12" s="3"/>
    </row>
    <row r="13" spans="1:13" x14ac:dyDescent="0.25">
      <c r="A13" s="3"/>
      <c r="B13" s="3"/>
      <c r="C13" s="3"/>
      <c r="D13" s="10" t="s">
        <v>47</v>
      </c>
      <c r="E13" s="3"/>
      <c r="F13" s="10" t="s">
        <v>21</v>
      </c>
      <c r="G13" s="3" t="s">
        <v>22</v>
      </c>
      <c r="H13" s="4">
        <v>50</v>
      </c>
      <c r="I13" s="4"/>
      <c r="J13" s="4"/>
      <c r="K13" s="4"/>
      <c r="L13" s="3" t="s">
        <v>48</v>
      </c>
      <c r="M13" s="3"/>
    </row>
    <row r="14" spans="1:13" x14ac:dyDescent="0.25">
      <c r="A14" s="3"/>
      <c r="B14" s="3"/>
      <c r="C14" s="3"/>
      <c r="D14" s="10" t="s">
        <v>49</v>
      </c>
      <c r="E14" s="3"/>
      <c r="F14" s="10" t="s">
        <v>25</v>
      </c>
      <c r="G14" s="3" t="s">
        <v>22</v>
      </c>
      <c r="H14" s="4">
        <v>3.68</v>
      </c>
      <c r="I14" s="4"/>
      <c r="J14" s="4"/>
      <c r="K14" s="4"/>
      <c r="L14" s="3" t="s">
        <v>50</v>
      </c>
      <c r="M14" s="3"/>
    </row>
    <row r="15" spans="1:13" x14ac:dyDescent="0.25">
      <c r="A15" s="3"/>
      <c r="B15" s="3"/>
      <c r="C15" s="3"/>
      <c r="D15" s="10" t="s">
        <v>51</v>
      </c>
      <c r="E15" s="3"/>
      <c r="F15" s="10" t="s">
        <v>52</v>
      </c>
      <c r="G15" s="3" t="s">
        <v>53</v>
      </c>
      <c r="H15" s="13">
        <v>2.2889999999999998E-3</v>
      </c>
      <c r="I15" s="4">
        <v>5.5000000000000003E-4</v>
      </c>
      <c r="J15" s="4"/>
      <c r="K15" s="4"/>
      <c r="L15" s="3" t="s">
        <v>54</v>
      </c>
      <c r="M15" s="3"/>
    </row>
    <row r="16" spans="1:13" x14ac:dyDescent="0.25">
      <c r="A16" s="3"/>
      <c r="B16" s="3"/>
      <c r="C16" s="3"/>
      <c r="D16" s="10" t="s">
        <v>55</v>
      </c>
      <c r="E16" s="3"/>
      <c r="F16" s="10" t="s">
        <v>56</v>
      </c>
      <c r="G16" s="3" t="s">
        <v>57</v>
      </c>
      <c r="H16" s="4">
        <v>80</v>
      </c>
      <c r="I16" s="4">
        <v>13.2</v>
      </c>
      <c r="J16" s="4">
        <v>60</v>
      </c>
      <c r="K16" s="4">
        <v>100</v>
      </c>
      <c r="L16" s="3" t="s">
        <v>58</v>
      </c>
      <c r="M16" s="3"/>
    </row>
    <row r="17" spans="1:13" x14ac:dyDescent="0.25">
      <c r="A17" s="3"/>
      <c r="B17" s="3"/>
      <c r="C17" s="3"/>
      <c r="D17" s="10" t="s">
        <v>59</v>
      </c>
      <c r="E17" s="3"/>
      <c r="F17" s="10" t="s">
        <v>25</v>
      </c>
      <c r="G17" s="3" t="s">
        <v>60</v>
      </c>
      <c r="H17" s="4">
        <v>1</v>
      </c>
      <c r="I17" s="4">
        <v>0.19500000000000001</v>
      </c>
      <c r="J17" s="4"/>
      <c r="K17" s="4"/>
      <c r="L17" s="3" t="s">
        <v>61</v>
      </c>
      <c r="M17" s="3"/>
    </row>
    <row r="18" spans="1:13" x14ac:dyDescent="0.25">
      <c r="A18" s="3"/>
      <c r="B18" s="3"/>
      <c r="C18" s="3"/>
      <c r="D18" s="10" t="s">
        <v>62</v>
      </c>
      <c r="E18" s="3"/>
      <c r="F18" s="10" t="s">
        <v>25</v>
      </c>
      <c r="G18" s="3" t="s">
        <v>60</v>
      </c>
      <c r="H18" s="4">
        <v>1</v>
      </c>
      <c r="I18" s="4">
        <v>0.14000000000000001</v>
      </c>
      <c r="J18" s="4"/>
      <c r="K18" s="4"/>
      <c r="L18" s="3" t="s">
        <v>63</v>
      </c>
      <c r="M18" s="3"/>
    </row>
    <row r="19" spans="1:13" x14ac:dyDescent="0.25">
      <c r="A19" s="3"/>
      <c r="B19" s="3"/>
      <c r="C19" s="3"/>
      <c r="D19" s="10" t="s">
        <v>64</v>
      </c>
      <c r="E19" s="3"/>
      <c r="F19" s="10" t="s">
        <v>25</v>
      </c>
      <c r="G19" s="3" t="s">
        <v>60</v>
      </c>
      <c r="H19" s="4">
        <v>1</v>
      </c>
      <c r="I19" s="4">
        <v>4.9000000000000002E-2</v>
      </c>
      <c r="J19" s="4"/>
      <c r="K19" s="4"/>
      <c r="L19" s="3" t="s">
        <v>65</v>
      </c>
      <c r="M19" s="3"/>
    </row>
    <row r="20" spans="1:13" x14ac:dyDescent="0.25">
      <c r="A20" s="3"/>
      <c r="B20" s="3"/>
      <c r="C20" s="3"/>
      <c r="D20" s="10" t="s">
        <v>66</v>
      </c>
      <c r="E20" s="3"/>
      <c r="F20" s="10" t="s">
        <v>25</v>
      </c>
      <c r="G20" s="3" t="s">
        <v>60</v>
      </c>
      <c r="H20" s="4">
        <v>1</v>
      </c>
      <c r="I20" s="4">
        <v>2.8000000000000001E-2</v>
      </c>
      <c r="J20" s="4"/>
      <c r="K20" s="4"/>
      <c r="L20" s="3" t="s">
        <v>67</v>
      </c>
      <c r="M20" s="3"/>
    </row>
    <row r="21" spans="1:13" x14ac:dyDescent="0.25">
      <c r="A21" s="3"/>
      <c r="B21" s="3"/>
      <c r="C21" s="3"/>
      <c r="D21" s="10" t="s">
        <v>68</v>
      </c>
      <c r="E21" s="3"/>
      <c r="F21" s="10" t="s">
        <v>25</v>
      </c>
      <c r="G21" s="3" t="s">
        <v>60</v>
      </c>
      <c r="H21" s="4">
        <v>1</v>
      </c>
      <c r="I21" s="4">
        <v>4.9000000000000002E-2</v>
      </c>
      <c r="J21" s="4"/>
      <c r="K21" s="4"/>
      <c r="L21" s="3" t="s">
        <v>69</v>
      </c>
      <c r="M21" s="3"/>
    </row>
    <row r="22" spans="1:13" x14ac:dyDescent="0.25">
      <c r="A22" s="3"/>
      <c r="B22" s="3"/>
      <c r="C22" s="3"/>
      <c r="D22" s="10" t="s">
        <v>70</v>
      </c>
      <c r="E22" s="3"/>
      <c r="F22" s="10" t="s">
        <v>25</v>
      </c>
      <c r="G22" s="3" t="s">
        <v>60</v>
      </c>
      <c r="H22" s="4">
        <v>1</v>
      </c>
      <c r="I22" s="4">
        <v>0</v>
      </c>
      <c r="J22" s="4"/>
      <c r="K22" s="4"/>
      <c r="L22" s="3" t="s">
        <v>61</v>
      </c>
      <c r="M22" s="3"/>
    </row>
    <row r="23" spans="1:13" x14ac:dyDescent="0.25">
      <c r="A23" s="3"/>
      <c r="B23" s="3"/>
      <c r="C23" s="3"/>
      <c r="D23" s="10" t="s">
        <v>71</v>
      </c>
      <c r="E23" s="3"/>
      <c r="F23" s="10" t="s">
        <v>25</v>
      </c>
      <c r="G23" s="3" t="s">
        <v>60</v>
      </c>
      <c r="H23" s="4">
        <v>1</v>
      </c>
      <c r="I23" s="4">
        <v>0.1</v>
      </c>
      <c r="J23" s="4"/>
      <c r="K23" s="4"/>
      <c r="L23" s="3" t="s">
        <v>72</v>
      </c>
      <c r="M23" s="3"/>
    </row>
    <row r="24" spans="1:13" x14ac:dyDescent="0.25">
      <c r="A24" s="3" t="s">
        <v>5</v>
      </c>
      <c r="B24" s="3"/>
      <c r="C24" s="3"/>
      <c r="D24" s="10" t="s">
        <v>73</v>
      </c>
      <c r="E24" s="3"/>
      <c r="F24" s="10">
        <v>1</v>
      </c>
      <c r="G24" s="3" t="s">
        <v>22</v>
      </c>
      <c r="H24" s="4">
        <v>0.2</v>
      </c>
      <c r="I24" s="4"/>
      <c r="J24" s="4"/>
      <c r="K24" s="4"/>
      <c r="L24" s="3" t="s">
        <v>74</v>
      </c>
      <c r="M24" s="3"/>
    </row>
    <row r="25" spans="1:13" x14ac:dyDescent="0.25">
      <c r="A25" s="3"/>
      <c r="B25" s="3"/>
      <c r="C25" s="3"/>
      <c r="D25" s="10" t="s">
        <v>75</v>
      </c>
      <c r="E25" s="3"/>
      <c r="F25" s="10">
        <v>1</v>
      </c>
      <c r="G25" s="3" t="s">
        <v>22</v>
      </c>
      <c r="H25" s="4">
        <v>0.44</v>
      </c>
      <c r="I25" s="4"/>
      <c r="J25" s="4"/>
      <c r="K25" s="4"/>
      <c r="L25" s="3" t="s">
        <v>76</v>
      </c>
      <c r="M25" s="3"/>
    </row>
    <row r="26" spans="1:13" x14ac:dyDescent="0.25">
      <c r="A26" s="3" t="s">
        <v>5</v>
      </c>
      <c r="B26" s="3" t="s">
        <v>8</v>
      </c>
      <c r="C26" s="3"/>
      <c r="D26" s="10" t="s">
        <v>77</v>
      </c>
      <c r="E26" s="3"/>
      <c r="F26" s="10" t="s">
        <v>78</v>
      </c>
      <c r="G26" s="3" t="s">
        <v>22</v>
      </c>
      <c r="H26" s="4">
        <v>4.2799999999999998E-2</v>
      </c>
      <c r="I26" s="4"/>
      <c r="J26" s="4"/>
      <c r="K26" s="4"/>
      <c r="L26" s="3" t="s">
        <v>79</v>
      </c>
      <c r="M26" s="3"/>
    </row>
    <row r="27" spans="1:13" x14ac:dyDescent="0.25">
      <c r="A27" s="3"/>
      <c r="B27" s="3"/>
      <c r="C27" s="3"/>
      <c r="D27" s="10" t="s">
        <v>80</v>
      </c>
      <c r="E27" s="3"/>
      <c r="F27" s="10">
        <v>1</v>
      </c>
      <c r="G27" s="3" t="s">
        <v>22</v>
      </c>
      <c r="H27" s="4">
        <v>0.39</v>
      </c>
      <c r="I27" s="4"/>
      <c r="J27" s="4"/>
      <c r="K27" s="4"/>
      <c r="L27" s="3" t="s">
        <v>81</v>
      </c>
      <c r="M27" s="3"/>
    </row>
    <row r="28" spans="1:13" x14ac:dyDescent="0.25">
      <c r="A28" s="3"/>
      <c r="B28" s="3"/>
      <c r="C28" s="3"/>
      <c r="D28" s="10" t="s">
        <v>82</v>
      </c>
      <c r="E28" s="3"/>
      <c r="F28" s="10">
        <v>1</v>
      </c>
      <c r="G28" s="3" t="s">
        <v>22</v>
      </c>
      <c r="H28" s="4">
        <v>0.61</v>
      </c>
      <c r="I28" s="4"/>
      <c r="J28" s="4"/>
      <c r="K28" s="4"/>
      <c r="L28" s="3" t="s">
        <v>83</v>
      </c>
      <c r="M28" s="3"/>
    </row>
    <row r="29" spans="1:13" x14ac:dyDescent="0.25">
      <c r="A29" s="3" t="s">
        <v>5</v>
      </c>
      <c r="B29" s="3" t="s">
        <v>8</v>
      </c>
      <c r="C29" s="3"/>
      <c r="D29" s="10" t="s">
        <v>84</v>
      </c>
      <c r="E29" s="3"/>
      <c r="F29" s="10" t="s">
        <v>28</v>
      </c>
      <c r="G29" s="3" t="s">
        <v>22</v>
      </c>
      <c r="H29" s="4">
        <v>0.1</v>
      </c>
      <c r="I29" s="4"/>
      <c r="J29" s="4"/>
      <c r="K29" s="4"/>
      <c r="L29" s="3" t="s">
        <v>85</v>
      </c>
      <c r="M29" s="3"/>
    </row>
    <row r="30" spans="1:13" x14ac:dyDescent="0.25">
      <c r="A30" s="3"/>
      <c r="B30" s="3"/>
      <c r="C30" s="3"/>
      <c r="D30" s="10" t="s">
        <v>86</v>
      </c>
      <c r="E30" s="3"/>
      <c r="F30" s="10" t="s">
        <v>28</v>
      </c>
      <c r="G30" s="3" t="s">
        <v>22</v>
      </c>
      <c r="H30" s="4">
        <v>5.0000000000000001E-3</v>
      </c>
      <c r="I30" s="4"/>
      <c r="J30" s="4"/>
      <c r="K30" s="4"/>
      <c r="L30" s="3" t="s">
        <v>87</v>
      </c>
      <c r="M30" s="3"/>
    </row>
    <row r="31" spans="1:13" x14ac:dyDescent="0.25">
      <c r="A31" s="3"/>
      <c r="B31" s="3"/>
      <c r="C31" s="3"/>
      <c r="D31" s="10" t="s">
        <v>88</v>
      </c>
      <c r="E31" s="3"/>
      <c r="F31" s="10" t="s">
        <v>28</v>
      </c>
      <c r="G31" s="3" t="s">
        <v>22</v>
      </c>
      <c r="H31" s="4">
        <v>1.5E-3</v>
      </c>
      <c r="I31" s="4"/>
      <c r="J31" s="4"/>
      <c r="K31" s="4"/>
      <c r="L31" s="3" t="s">
        <v>89</v>
      </c>
      <c r="M31" s="3"/>
    </row>
    <row r="32" spans="1:13" x14ac:dyDescent="0.25">
      <c r="A32" s="3"/>
      <c r="B32" s="3"/>
      <c r="C32" s="3"/>
      <c r="D32" s="10" t="s">
        <v>90</v>
      </c>
      <c r="E32" s="3"/>
      <c r="F32" s="10" t="s">
        <v>28</v>
      </c>
      <c r="G32" s="3" t="s">
        <v>22</v>
      </c>
      <c r="H32" s="4">
        <v>0.01</v>
      </c>
      <c r="I32" s="4"/>
      <c r="J32" s="4"/>
      <c r="K32" s="4"/>
      <c r="L32" s="3" t="s">
        <v>91</v>
      </c>
      <c r="M32" s="3"/>
    </row>
    <row r="33" spans="1:13" x14ac:dyDescent="0.25">
      <c r="A33" s="3"/>
      <c r="B33" s="3"/>
      <c r="C33" s="3"/>
      <c r="D33" s="10" t="s">
        <v>92</v>
      </c>
      <c r="E33" s="3"/>
      <c r="F33" s="10">
        <v>1</v>
      </c>
      <c r="G33" s="3" t="s">
        <v>22</v>
      </c>
      <c r="H33" s="4">
        <v>0.05</v>
      </c>
      <c r="I33" s="4"/>
      <c r="J33" s="4"/>
      <c r="K33" s="4"/>
      <c r="L33" s="3" t="s">
        <v>93</v>
      </c>
      <c r="M33" s="3"/>
    </row>
    <row r="34" spans="1:13" x14ac:dyDescent="0.25">
      <c r="A34" s="3"/>
      <c r="B34" s="3"/>
      <c r="C34" s="3"/>
      <c r="D34" s="10" t="s">
        <v>94</v>
      </c>
      <c r="E34" s="3"/>
      <c r="F34" s="10">
        <v>1</v>
      </c>
      <c r="G34" s="3" t="s">
        <v>22</v>
      </c>
      <c r="H34" s="4">
        <v>0.02</v>
      </c>
      <c r="I34" s="4"/>
      <c r="J34" s="4"/>
      <c r="K34" s="4"/>
      <c r="L34" s="3" t="s">
        <v>95</v>
      </c>
      <c r="M34" s="3"/>
    </row>
    <row r="35" spans="1:13" x14ac:dyDescent="0.25">
      <c r="A35" s="3"/>
      <c r="B35" s="3"/>
      <c r="C35" s="3"/>
      <c r="D35" s="10" t="s">
        <v>96</v>
      </c>
      <c r="E35" s="3"/>
      <c r="F35" s="10">
        <v>1</v>
      </c>
      <c r="G35" s="3" t="s">
        <v>22</v>
      </c>
      <c r="H35" s="4">
        <v>0.02</v>
      </c>
      <c r="I35" s="4"/>
      <c r="J35" s="4"/>
      <c r="K35" s="4"/>
      <c r="L35" s="3" t="s">
        <v>97</v>
      </c>
      <c r="M35" s="3"/>
    </row>
    <row r="36" spans="1:13" x14ac:dyDescent="0.25">
      <c r="A36" s="3"/>
      <c r="B36" s="3"/>
      <c r="C36" s="3"/>
      <c r="D36" s="10" t="s">
        <v>98</v>
      </c>
      <c r="E36" s="3"/>
      <c r="F36" s="10">
        <v>1</v>
      </c>
      <c r="G36" s="3" t="s">
        <v>22</v>
      </c>
      <c r="H36" s="4">
        <v>7.0000000000000001E-3</v>
      </c>
      <c r="I36" s="4"/>
      <c r="J36" s="4"/>
      <c r="K36" s="4"/>
      <c r="L36" s="3" t="s">
        <v>99</v>
      </c>
      <c r="M36" s="3"/>
    </row>
    <row r="37" spans="1:13" x14ac:dyDescent="0.25">
      <c r="A37" s="3"/>
      <c r="B37" s="3"/>
      <c r="C37" s="3"/>
      <c r="D37" s="10" t="s">
        <v>100</v>
      </c>
      <c r="E37" s="3"/>
      <c r="F37" s="10" t="s">
        <v>101</v>
      </c>
      <c r="G37" s="3" t="s">
        <v>22</v>
      </c>
      <c r="H37" s="4">
        <v>0.93</v>
      </c>
      <c r="I37" s="4"/>
      <c r="J37" s="4"/>
      <c r="K37" s="4"/>
      <c r="L37" s="3" t="s">
        <v>102</v>
      </c>
      <c r="M37" s="3"/>
    </row>
    <row r="38" spans="1:13" x14ac:dyDescent="0.25">
      <c r="A38" s="3"/>
      <c r="B38" s="3"/>
      <c r="C38" s="3"/>
      <c r="D38" s="10" t="s">
        <v>103</v>
      </c>
      <c r="E38" s="3"/>
      <c r="F38" s="10" t="s">
        <v>104</v>
      </c>
      <c r="G38" s="3" t="s">
        <v>22</v>
      </c>
      <c r="H38" s="4">
        <v>13</v>
      </c>
      <c r="I38" s="4"/>
      <c r="J38" s="4"/>
      <c r="K38" s="4"/>
      <c r="L38" s="3" t="s">
        <v>105</v>
      </c>
      <c r="M38" s="3"/>
    </row>
    <row r="39" spans="1:13" x14ac:dyDescent="0.25">
      <c r="A39" s="3" t="s">
        <v>5</v>
      </c>
      <c r="B39" s="3" t="s">
        <v>8</v>
      </c>
      <c r="C39" s="3"/>
      <c r="D39" s="10" t="s">
        <v>106</v>
      </c>
      <c r="E39" s="3"/>
      <c r="F39" s="10" t="s">
        <v>107</v>
      </c>
      <c r="G39" s="3" t="s">
        <v>22</v>
      </c>
      <c r="H39" s="4">
        <v>500.13</v>
      </c>
      <c r="I39" s="4"/>
      <c r="J39" s="4"/>
      <c r="K39" s="4"/>
      <c r="L39" s="3" t="s">
        <v>108</v>
      </c>
      <c r="M39" s="3"/>
    </row>
    <row r="40" spans="1:13" x14ac:dyDescent="0.25">
      <c r="A40" s="3" t="s">
        <v>5</v>
      </c>
      <c r="B40" s="3" t="s">
        <v>8</v>
      </c>
      <c r="C40" s="3"/>
      <c r="D40" s="10" t="s">
        <v>109</v>
      </c>
      <c r="E40" s="3"/>
      <c r="F40" s="10">
        <v>1</v>
      </c>
      <c r="G40" s="3" t="s">
        <v>22</v>
      </c>
      <c r="H40" s="4">
        <v>4.5</v>
      </c>
      <c r="I40" s="4"/>
      <c r="J40" s="4"/>
      <c r="K40" s="4"/>
      <c r="L40" s="3" t="s">
        <v>109</v>
      </c>
      <c r="M40" s="3"/>
    </row>
    <row r="41" spans="1:13" x14ac:dyDescent="0.25">
      <c r="A41" s="3" t="s">
        <v>5</v>
      </c>
      <c r="B41" s="3" t="s">
        <v>8</v>
      </c>
      <c r="C41" s="3"/>
      <c r="D41" s="10" t="s">
        <v>110</v>
      </c>
      <c r="E41" s="3"/>
      <c r="F41" s="10" t="s">
        <v>111</v>
      </c>
      <c r="G41" s="3" t="s">
        <v>22</v>
      </c>
      <c r="H41" s="4">
        <v>2.9999999999999997E-4</v>
      </c>
      <c r="I41" s="4"/>
      <c r="J41" s="4"/>
      <c r="K41" s="4"/>
      <c r="L41" s="3" t="s">
        <v>112</v>
      </c>
      <c r="M41" s="3"/>
    </row>
    <row r="42" spans="1:13" x14ac:dyDescent="0.25">
      <c r="A42" s="3"/>
      <c r="B42" s="3"/>
      <c r="C42" s="3"/>
      <c r="D42" s="10" t="s">
        <v>113</v>
      </c>
      <c r="E42" s="3"/>
      <c r="F42" s="10">
        <v>1</v>
      </c>
      <c r="G42" s="3" t="s">
        <v>22</v>
      </c>
      <c r="H42" s="4">
        <v>8.7999999999999998E-5</v>
      </c>
      <c r="I42" s="4"/>
      <c r="J42" s="4"/>
      <c r="K42" s="4"/>
      <c r="L42" s="3" t="s">
        <v>114</v>
      </c>
      <c r="M42" s="3"/>
    </row>
    <row r="43" spans="1:13" x14ac:dyDescent="0.25">
      <c r="A43" s="3"/>
      <c r="B43" s="3"/>
      <c r="C43" s="3"/>
      <c r="D43" s="10" t="s">
        <v>115</v>
      </c>
      <c r="E43" s="3"/>
      <c r="F43" s="10">
        <v>1</v>
      </c>
      <c r="G43" s="3" t="s">
        <v>22</v>
      </c>
      <c r="H43" s="4">
        <v>8.7999999999999998E-5</v>
      </c>
      <c r="I43" s="4"/>
      <c r="J43" s="4"/>
      <c r="K43" s="4"/>
      <c r="L43" s="3" t="s">
        <v>116</v>
      </c>
      <c r="M43" s="3"/>
    </row>
    <row r="44" spans="1:13" x14ac:dyDescent="0.25">
      <c r="A44" s="3"/>
      <c r="B44" s="3"/>
      <c r="C44" s="3"/>
      <c r="D44" s="10" t="s">
        <v>117</v>
      </c>
      <c r="E44" s="3"/>
      <c r="F44" s="10" t="s">
        <v>118</v>
      </c>
      <c r="G44" s="3" t="s">
        <v>22</v>
      </c>
      <c r="H44" s="4">
        <v>1.8699999999999999E-4</v>
      </c>
      <c r="I44" s="4"/>
      <c r="J44" s="4"/>
      <c r="K44" s="4"/>
      <c r="L44" s="3" t="s">
        <v>119</v>
      </c>
      <c r="M44" s="3"/>
    </row>
    <row r="45" spans="1:13" x14ac:dyDescent="0.25">
      <c r="A45" s="3"/>
      <c r="B45" s="3"/>
      <c r="C45" s="3"/>
      <c r="D45" s="10" t="s">
        <v>120</v>
      </c>
      <c r="E45" s="3"/>
      <c r="F45" s="10" t="s">
        <v>121</v>
      </c>
      <c r="G45" s="3" t="s">
        <v>22</v>
      </c>
      <c r="H45" s="4">
        <v>0</v>
      </c>
      <c r="I45" s="4"/>
      <c r="J45" s="4"/>
      <c r="K45" s="4"/>
      <c r="L45" s="3" t="s">
        <v>122</v>
      </c>
      <c r="M45" s="3"/>
    </row>
    <row r="46" spans="1:13" x14ac:dyDescent="0.25">
      <c r="A46" s="3"/>
      <c r="B46" s="3"/>
      <c r="C46" s="3"/>
      <c r="D46" s="10" t="s">
        <v>123</v>
      </c>
      <c r="E46" s="3"/>
      <c r="F46" s="10" t="s">
        <v>124</v>
      </c>
      <c r="G46" s="3" t="s">
        <v>22</v>
      </c>
      <c r="H46" s="4">
        <v>0</v>
      </c>
      <c r="I46" s="4"/>
      <c r="J46" s="4"/>
      <c r="K46" s="4"/>
      <c r="L46" s="3" t="s">
        <v>125</v>
      </c>
      <c r="M46" s="3"/>
    </row>
    <row r="47" spans="1:13" x14ac:dyDescent="0.25">
      <c r="A47" s="3"/>
      <c r="B47" s="3"/>
      <c r="C47" s="3"/>
      <c r="D47" s="10" t="s">
        <v>126</v>
      </c>
      <c r="E47" s="3"/>
      <c r="F47" s="10" t="s">
        <v>121</v>
      </c>
      <c r="G47" s="3" t="s">
        <v>22</v>
      </c>
      <c r="H47" s="4">
        <v>0</v>
      </c>
      <c r="I47" s="4"/>
      <c r="J47" s="4"/>
      <c r="K47" s="4"/>
      <c r="L47" s="3" t="s">
        <v>125</v>
      </c>
      <c r="M47" s="3"/>
    </row>
    <row r="48" spans="1:13" x14ac:dyDescent="0.25">
      <c r="A48" s="3" t="s">
        <v>5</v>
      </c>
      <c r="B48" s="3" t="s">
        <v>8</v>
      </c>
      <c r="C48" s="3"/>
      <c r="D48" s="10" t="s">
        <v>127</v>
      </c>
      <c r="E48" s="3"/>
      <c r="F48" s="10" t="s">
        <v>128</v>
      </c>
      <c r="G48" s="3" t="s">
        <v>129</v>
      </c>
      <c r="H48" s="4">
        <v>84000</v>
      </c>
      <c r="I48" s="4">
        <v>0.32</v>
      </c>
      <c r="J48" s="25">
        <v>28799.999999999996</v>
      </c>
      <c r="K48" s="25">
        <v>213600.00000000003</v>
      </c>
      <c r="L48" s="3" t="s">
        <v>130</v>
      </c>
      <c r="M48" s="3"/>
    </row>
    <row r="49" spans="1:13" x14ac:dyDescent="0.25">
      <c r="A49" s="3" t="s">
        <v>5</v>
      </c>
      <c r="B49" s="3" t="s">
        <v>8</v>
      </c>
      <c r="C49" s="3"/>
      <c r="D49" s="10" t="s">
        <v>131</v>
      </c>
      <c r="E49" s="3"/>
      <c r="F49" s="10" t="s">
        <v>132</v>
      </c>
      <c r="G49" s="3" t="s">
        <v>53</v>
      </c>
      <c r="H49" s="4">
        <v>23</v>
      </c>
      <c r="I49" s="4">
        <v>1</v>
      </c>
      <c r="J49" s="4"/>
      <c r="K49" s="4"/>
      <c r="L49" s="3" t="s">
        <v>133</v>
      </c>
      <c r="M49" s="3"/>
    </row>
    <row r="50" spans="1:13" x14ac:dyDescent="0.25">
      <c r="A50" s="3" t="s">
        <v>5</v>
      </c>
      <c r="B50" s="3" t="s">
        <v>8</v>
      </c>
      <c r="C50" s="3"/>
      <c r="D50" s="10" t="s">
        <v>134</v>
      </c>
      <c r="E50" s="3"/>
      <c r="F50" s="10" t="s">
        <v>135</v>
      </c>
      <c r="G50" s="3" t="s">
        <v>57</v>
      </c>
      <c r="H50" s="4">
        <f>0.05*24</f>
        <v>1.2000000000000002</v>
      </c>
      <c r="I50" s="5">
        <f>0.02*24</f>
        <v>0.48</v>
      </c>
      <c r="J50" s="6">
        <f>0.001*24</f>
        <v>2.4E-2</v>
      </c>
      <c r="K50" s="7">
        <f>0.1*24</f>
        <v>2.4000000000000004</v>
      </c>
      <c r="L50" s="3" t="s">
        <v>136</v>
      </c>
      <c r="M50" s="3"/>
    </row>
    <row r="51" spans="1:13" x14ac:dyDescent="0.25">
      <c r="A51" s="3"/>
      <c r="B51" s="3"/>
      <c r="C51" s="3"/>
      <c r="D51" s="10" t="s">
        <v>137</v>
      </c>
      <c r="E51" s="3"/>
      <c r="F51" s="10" t="s">
        <v>138</v>
      </c>
      <c r="G51" s="3" t="s">
        <v>57</v>
      </c>
      <c r="H51" s="14">
        <f>2.20833333333333E-06*24</f>
        <v>5.2999999999999919E-5</v>
      </c>
      <c r="I51" s="15">
        <f>4.16666666666667E-07*24</f>
        <v>1.0000000000000008E-5</v>
      </c>
      <c r="J51" s="15"/>
      <c r="K51" s="15"/>
      <c r="L51" s="3" t="s">
        <v>139</v>
      </c>
      <c r="M51" s="3"/>
    </row>
    <row r="52" spans="1:13" x14ac:dyDescent="0.25">
      <c r="A52" s="3" t="s">
        <v>5</v>
      </c>
      <c r="B52" s="3" t="s">
        <v>8</v>
      </c>
      <c r="C52" s="3"/>
      <c r="D52" s="10" t="s">
        <v>140</v>
      </c>
      <c r="E52" s="3"/>
      <c r="F52" s="10">
        <v>1</v>
      </c>
      <c r="G52" s="3" t="s">
        <v>57</v>
      </c>
      <c r="H52" s="4">
        <v>2.4E-2</v>
      </c>
      <c r="I52" s="4">
        <v>0.01</v>
      </c>
      <c r="J52" s="4">
        <v>4.4999999999999997E-3</v>
      </c>
      <c r="K52" s="4">
        <v>4.2000000000000003E-2</v>
      </c>
      <c r="L52" s="3" t="s">
        <v>141</v>
      </c>
      <c r="M52" s="3"/>
    </row>
    <row r="53" spans="1:13" x14ac:dyDescent="0.25">
      <c r="A53" s="3" t="s">
        <v>5</v>
      </c>
      <c r="B53" s="3" t="s">
        <v>8</v>
      </c>
      <c r="C53" s="3"/>
      <c r="D53" s="10" t="s">
        <v>142</v>
      </c>
      <c r="E53" s="3"/>
      <c r="F53" s="10">
        <v>1</v>
      </c>
      <c r="G53" s="3" t="s">
        <v>60</v>
      </c>
      <c r="H53" s="4">
        <v>2.77</v>
      </c>
      <c r="I53" s="4">
        <v>0.27</v>
      </c>
      <c r="J53" s="4"/>
      <c r="K53" s="4"/>
      <c r="L53" s="3" t="s">
        <v>143</v>
      </c>
      <c r="M53" s="3"/>
    </row>
    <row r="54" spans="1:13" x14ac:dyDescent="0.25">
      <c r="A54" s="3" t="s">
        <v>5</v>
      </c>
      <c r="B54" s="3" t="s">
        <v>8</v>
      </c>
      <c r="C54" s="3"/>
      <c r="D54" s="10" t="s">
        <v>144</v>
      </c>
      <c r="E54" s="3"/>
      <c r="F54" s="10">
        <v>1</v>
      </c>
      <c r="G54" s="3" t="s">
        <v>60</v>
      </c>
      <c r="H54" s="4">
        <v>0.21</v>
      </c>
      <c r="I54" s="4">
        <v>0.13</v>
      </c>
      <c r="J54" s="4"/>
      <c r="K54" s="4"/>
      <c r="L54" s="3" t="s">
        <v>145</v>
      </c>
      <c r="M54" s="3"/>
    </row>
    <row r="55" spans="1:13" s="2" customFormat="1" x14ac:dyDescent="0.25">
      <c r="A55" s="3" t="s">
        <v>5</v>
      </c>
      <c r="B55" s="3" t="s">
        <v>8</v>
      </c>
      <c r="C55" s="3"/>
      <c r="D55" s="10" t="s">
        <v>146</v>
      </c>
      <c r="E55" s="3"/>
      <c r="F55" s="10">
        <v>1</v>
      </c>
      <c r="G55" s="3" t="s">
        <v>60</v>
      </c>
      <c r="H55" s="4">
        <v>1.29</v>
      </c>
      <c r="I55" s="8">
        <v>7.0000000000000007E-2</v>
      </c>
      <c r="J55" s="4"/>
      <c r="K55" s="4"/>
      <c r="L55" s="3" t="s">
        <v>147</v>
      </c>
      <c r="M55" s="3"/>
    </row>
    <row r="56" spans="1:13" x14ac:dyDescent="0.25">
      <c r="A56" s="3" t="s">
        <v>5</v>
      </c>
      <c r="B56" s="3" t="s">
        <v>8</v>
      </c>
      <c r="C56" s="3"/>
      <c r="D56" s="10" t="s">
        <v>148</v>
      </c>
      <c r="E56" s="3"/>
      <c r="F56" s="10">
        <v>1</v>
      </c>
      <c r="G56" s="3" t="s">
        <v>60</v>
      </c>
      <c r="H56" s="4">
        <v>0.1</v>
      </c>
      <c r="I56" s="4">
        <v>0.03</v>
      </c>
      <c r="J56" s="4"/>
      <c r="K56" s="4"/>
      <c r="L56" s="3" t="s">
        <v>149</v>
      </c>
      <c r="M56" s="3"/>
    </row>
    <row r="57" spans="1:13" x14ac:dyDescent="0.25">
      <c r="A57" s="3" t="s">
        <v>5</v>
      </c>
      <c r="B57" s="3" t="s">
        <v>8</v>
      </c>
      <c r="C57" s="3"/>
      <c r="D57" s="10" t="s">
        <v>150</v>
      </c>
      <c r="E57" s="3"/>
      <c r="F57" s="10">
        <v>1</v>
      </c>
      <c r="G57" s="3" t="s">
        <v>60</v>
      </c>
      <c r="H57" s="4">
        <v>0.13</v>
      </c>
      <c r="I57" s="4">
        <v>0.13</v>
      </c>
      <c r="J57" s="4"/>
      <c r="K57" s="4"/>
      <c r="L57" s="3" t="s">
        <v>151</v>
      </c>
      <c r="M57" s="3"/>
    </row>
    <row r="58" spans="1:13" x14ac:dyDescent="0.25">
      <c r="A58" s="3" t="s">
        <v>5</v>
      </c>
      <c r="B58" s="3" t="s">
        <v>8</v>
      </c>
      <c r="C58" s="3"/>
      <c r="D58" s="10" t="s">
        <v>152</v>
      </c>
      <c r="E58" s="3"/>
      <c r="F58" s="10">
        <v>1</v>
      </c>
      <c r="G58" s="3" t="s">
        <v>60</v>
      </c>
      <c r="H58" s="4">
        <v>0.56000000000000005</v>
      </c>
      <c r="I58" s="4">
        <v>0.02</v>
      </c>
      <c r="J58" s="4"/>
      <c r="K58" s="4"/>
      <c r="L58" s="3" t="s">
        <v>153</v>
      </c>
      <c r="M58" s="3"/>
    </row>
    <row r="59" spans="1:13" x14ac:dyDescent="0.25">
      <c r="A59" s="3" t="s">
        <v>5</v>
      </c>
      <c r="B59" s="3" t="s">
        <v>8</v>
      </c>
      <c r="C59" s="3"/>
      <c r="D59" s="10" t="s">
        <v>154</v>
      </c>
      <c r="E59" s="3"/>
      <c r="F59" s="10">
        <v>1</v>
      </c>
      <c r="G59" s="3" t="s">
        <v>60</v>
      </c>
      <c r="H59" s="4">
        <v>4.21</v>
      </c>
      <c r="I59" s="4">
        <v>0.35</v>
      </c>
      <c r="J59" s="4"/>
      <c r="K59" s="4"/>
      <c r="L59" s="3" t="s">
        <v>155</v>
      </c>
      <c r="M59" s="3"/>
    </row>
    <row r="60" spans="1:13" x14ac:dyDescent="0.25">
      <c r="A60" s="3"/>
      <c r="B60" s="3" t="s">
        <v>8</v>
      </c>
      <c r="C60" s="3"/>
      <c r="D60" s="10" t="s">
        <v>156</v>
      </c>
      <c r="E60" s="3"/>
      <c r="F60" s="10" t="s">
        <v>121</v>
      </c>
      <c r="G60" s="3" t="s">
        <v>22</v>
      </c>
      <c r="H60" s="4">
        <v>4.8899999999999997</v>
      </c>
      <c r="I60" s="4"/>
      <c r="J60" s="4"/>
      <c r="K60" s="4"/>
      <c r="L60" s="3" t="s">
        <v>157</v>
      </c>
      <c r="M60" s="3"/>
    </row>
    <row r="61" spans="1:13" x14ac:dyDescent="0.25">
      <c r="A61" s="3"/>
      <c r="B61" s="3" t="s">
        <v>8</v>
      </c>
      <c r="C61" s="3"/>
      <c r="D61" s="10" t="s">
        <v>158</v>
      </c>
      <c r="E61" s="3"/>
      <c r="F61" s="10">
        <v>1</v>
      </c>
      <c r="G61" s="3" t="s">
        <v>22</v>
      </c>
      <c r="H61" s="4">
        <v>0.36</v>
      </c>
      <c r="I61" s="4"/>
      <c r="J61" s="4"/>
      <c r="K61" s="4"/>
      <c r="L61" s="3" t="s">
        <v>159</v>
      </c>
      <c r="M61" s="3"/>
    </row>
    <row r="62" spans="1:13" x14ac:dyDescent="0.25">
      <c r="A62" s="3"/>
      <c r="B62" s="3" t="s">
        <v>8</v>
      </c>
      <c r="C62" s="3"/>
      <c r="D62" s="10" t="s">
        <v>160</v>
      </c>
      <c r="E62" s="3"/>
      <c r="F62" s="10">
        <v>1</v>
      </c>
      <c r="G62" s="3" t="s">
        <v>22</v>
      </c>
      <c r="H62" s="4">
        <v>1.4999999999999999E-2</v>
      </c>
      <c r="I62" s="4"/>
      <c r="J62" s="4"/>
      <c r="K62" s="4"/>
      <c r="L62" s="3" t="s">
        <v>161</v>
      </c>
      <c r="M62" s="3"/>
    </row>
    <row r="63" spans="1:13" x14ac:dyDescent="0.25">
      <c r="A63" s="3"/>
      <c r="B63" s="3" t="s">
        <v>8</v>
      </c>
      <c r="C63" s="3"/>
      <c r="D63" s="10" t="s">
        <v>162</v>
      </c>
      <c r="E63" s="3"/>
      <c r="F63" s="10" t="s">
        <v>163</v>
      </c>
      <c r="G63" s="3" t="s">
        <v>22</v>
      </c>
      <c r="H63" s="4">
        <v>3.1E-2</v>
      </c>
      <c r="I63" s="4"/>
      <c r="J63" s="4"/>
      <c r="K63" s="4"/>
      <c r="L63" s="3" t="s">
        <v>164</v>
      </c>
      <c r="M63" s="3"/>
    </row>
    <row r="64" spans="1:13" x14ac:dyDescent="0.25">
      <c r="A64" s="3"/>
      <c r="B64" s="3"/>
      <c r="C64" s="3"/>
      <c r="D64" s="10" t="s">
        <v>165</v>
      </c>
      <c r="E64" s="3"/>
      <c r="F64" s="10" t="s">
        <v>52</v>
      </c>
      <c r="G64" s="3" t="s">
        <v>22</v>
      </c>
      <c r="H64" s="4">
        <v>0.8</v>
      </c>
      <c r="I64" s="4"/>
      <c r="J64" s="4"/>
      <c r="K64" s="4"/>
      <c r="L64" s="3" t="s">
        <v>166</v>
      </c>
      <c r="M64" s="3"/>
    </row>
    <row r="65" spans="1:13" x14ac:dyDescent="0.25">
      <c r="A65" s="3"/>
      <c r="B65" s="3"/>
      <c r="C65" s="3"/>
      <c r="D65" s="10" t="s">
        <v>167</v>
      </c>
      <c r="E65" s="3"/>
      <c r="F65" s="10" t="s">
        <v>168</v>
      </c>
      <c r="G65" s="3" t="s">
        <v>22</v>
      </c>
      <c r="H65" s="4">
        <v>0.39</v>
      </c>
      <c r="I65" s="4"/>
      <c r="J65" s="4"/>
      <c r="K65" s="4"/>
      <c r="L65" s="3" t="s">
        <v>169</v>
      </c>
      <c r="M65" s="3"/>
    </row>
    <row r="66" spans="1:13" x14ac:dyDescent="0.25">
      <c r="A66" s="3"/>
      <c r="B66" s="3"/>
      <c r="C66" s="3"/>
      <c r="D66" s="10" t="s">
        <v>170</v>
      </c>
      <c r="E66" s="3"/>
      <c r="F66" s="10" t="s">
        <v>168</v>
      </c>
      <c r="G66" s="3" t="s">
        <v>22</v>
      </c>
      <c r="H66" s="4">
        <v>0.61</v>
      </c>
      <c r="I66" s="4"/>
      <c r="J66" s="4"/>
      <c r="K66" s="4"/>
      <c r="L66" s="3" t="s">
        <v>171</v>
      </c>
      <c r="M66" s="3"/>
    </row>
    <row r="67" spans="1:13" x14ac:dyDescent="0.25">
      <c r="A67" s="3"/>
      <c r="B67" s="3"/>
      <c r="C67" s="3"/>
      <c r="D67" s="10" t="s">
        <v>172</v>
      </c>
      <c r="E67" s="3"/>
      <c r="F67" s="10" t="s">
        <v>168</v>
      </c>
      <c r="G67" s="3" t="s">
        <v>22</v>
      </c>
      <c r="H67" s="4">
        <v>0.99929853000000002</v>
      </c>
      <c r="I67" s="4"/>
      <c r="J67" s="4"/>
      <c r="K67" s="4"/>
      <c r="L67" s="3" t="s">
        <v>173</v>
      </c>
      <c r="M67" s="3"/>
    </row>
    <row r="68" spans="1:13" x14ac:dyDescent="0.25">
      <c r="A68" s="3"/>
      <c r="B68" s="3"/>
      <c r="C68" s="3"/>
      <c r="D68" s="10" t="s">
        <v>174</v>
      </c>
      <c r="E68" s="3"/>
      <c r="F68" s="10" t="s">
        <v>168</v>
      </c>
      <c r="G68" s="3" t="s">
        <v>22</v>
      </c>
      <c r="H68" s="4">
        <v>66.836076399999996</v>
      </c>
      <c r="I68" s="4"/>
      <c r="J68" s="4"/>
      <c r="K68" s="4"/>
      <c r="L68" s="3" t="s">
        <v>175</v>
      </c>
      <c r="M68" s="3"/>
    </row>
    <row r="69" spans="1:13" x14ac:dyDescent="0.25">
      <c r="A69" s="3"/>
      <c r="B69" s="3"/>
      <c r="C69" s="3"/>
      <c r="D69" s="10" t="s">
        <v>176</v>
      </c>
      <c r="E69" s="3"/>
      <c r="F69" s="10" t="s">
        <v>168</v>
      </c>
      <c r="G69" s="3" t="s">
        <v>22</v>
      </c>
      <c r="H69" s="4">
        <v>10.000151000000001</v>
      </c>
      <c r="I69" s="4"/>
      <c r="J69" s="4"/>
      <c r="K69" s="4"/>
      <c r="L69" s="3" t="s">
        <v>177</v>
      </c>
      <c r="M69" s="3"/>
    </row>
    <row r="70" spans="1:13" x14ac:dyDescent="0.25">
      <c r="A70" s="3"/>
      <c r="B70" s="3"/>
      <c r="C70" s="3"/>
      <c r="D70" s="10" t="s">
        <v>178</v>
      </c>
      <c r="E70" s="3"/>
      <c r="F70" s="10" t="s">
        <v>168</v>
      </c>
      <c r="G70" s="3" t="s">
        <v>22</v>
      </c>
      <c r="H70" s="4">
        <v>5.8857574599999998</v>
      </c>
      <c r="I70" s="4"/>
      <c r="J70" s="4"/>
      <c r="K70" s="4"/>
      <c r="L70" s="3" t="s">
        <v>179</v>
      </c>
      <c r="M70" s="3"/>
    </row>
    <row r="71" spans="1:13" x14ac:dyDescent="0.25">
      <c r="A71" s="3"/>
      <c r="B71" s="3"/>
      <c r="C71" s="3"/>
      <c r="D71" s="10" t="s">
        <v>180</v>
      </c>
      <c r="E71" s="3"/>
      <c r="F71" s="10" t="s">
        <v>168</v>
      </c>
      <c r="G71" s="3" t="s">
        <v>22</v>
      </c>
      <c r="H71" s="4">
        <v>4.5199999999999996</v>
      </c>
      <c r="I71" s="4"/>
      <c r="J71" s="4"/>
      <c r="K71" s="4"/>
      <c r="L71" s="3" t="s">
        <v>181</v>
      </c>
      <c r="M71" s="3"/>
    </row>
    <row r="72" spans="1:13" x14ac:dyDescent="0.25">
      <c r="A72" s="3"/>
      <c r="B72" s="3"/>
      <c r="C72" s="3"/>
      <c r="D72" s="10" t="s">
        <v>182</v>
      </c>
      <c r="E72" s="3"/>
      <c r="F72" s="10" t="s">
        <v>168</v>
      </c>
      <c r="G72" s="3" t="s">
        <v>22</v>
      </c>
      <c r="H72" s="4">
        <v>3.39</v>
      </c>
      <c r="I72" s="4"/>
      <c r="J72" s="4"/>
      <c r="K72" s="4"/>
      <c r="L72" s="3" t="s">
        <v>183</v>
      </c>
      <c r="M72" s="3"/>
    </row>
    <row r="73" spans="1:13" x14ac:dyDescent="0.25">
      <c r="A73" s="3"/>
      <c r="B73" s="3"/>
      <c r="C73" s="3"/>
      <c r="D73" s="10" t="s">
        <v>184</v>
      </c>
      <c r="E73" s="3"/>
      <c r="F73" s="10" t="s">
        <v>168</v>
      </c>
      <c r="G73" s="3" t="s">
        <v>22</v>
      </c>
      <c r="H73" s="4">
        <v>74.910879199999997</v>
      </c>
      <c r="I73" s="4"/>
      <c r="J73" s="4"/>
      <c r="K73" s="4"/>
      <c r="L73" s="3" t="s">
        <v>185</v>
      </c>
      <c r="M73" s="3"/>
    </row>
    <row r="74" spans="1:13" x14ac:dyDescent="0.25">
      <c r="A74" s="3"/>
      <c r="B74" s="3"/>
      <c r="C74" s="3"/>
      <c r="D74" s="10" t="s">
        <v>186</v>
      </c>
      <c r="E74" s="3"/>
      <c r="F74" s="10" t="s">
        <v>168</v>
      </c>
      <c r="G74" s="3" t="s">
        <v>22</v>
      </c>
      <c r="H74" s="4">
        <v>2.0960600000000001E-5</v>
      </c>
      <c r="I74" s="4"/>
      <c r="J74" s="4"/>
      <c r="K74" s="4"/>
      <c r="L74" s="3" t="s">
        <v>187</v>
      </c>
      <c r="M74" s="3"/>
    </row>
    <row r="75" spans="1:13" x14ac:dyDescent="0.25">
      <c r="A75" s="3"/>
      <c r="B75" s="3"/>
      <c r="C75" s="3"/>
      <c r="D75" s="10" t="s">
        <v>188</v>
      </c>
      <c r="E75" s="3"/>
      <c r="F75" s="10" t="s">
        <v>168</v>
      </c>
      <c r="G75" s="3" t="s">
        <v>22</v>
      </c>
      <c r="H75" s="4">
        <v>42.279107140000001</v>
      </c>
      <c r="I75" s="4"/>
      <c r="J75" s="4"/>
      <c r="K75" s="4"/>
      <c r="L75" s="3" t="s">
        <v>189</v>
      </c>
      <c r="M75" s="3"/>
    </row>
    <row r="76" spans="1:13" x14ac:dyDescent="0.25">
      <c r="A76" s="3"/>
      <c r="B76" s="3"/>
      <c r="C76" s="3"/>
      <c r="D76" s="10" t="s">
        <v>190</v>
      </c>
      <c r="E76" s="3"/>
      <c r="F76" s="10" t="s">
        <v>168</v>
      </c>
      <c r="G76" s="3" t="s">
        <v>22</v>
      </c>
      <c r="H76" s="4">
        <v>769.13474940000003</v>
      </c>
      <c r="I76" s="4"/>
      <c r="J76" s="4"/>
      <c r="K76" s="4"/>
      <c r="L76" s="3" t="s">
        <v>191</v>
      </c>
      <c r="M76" s="3"/>
    </row>
  </sheetData>
  <autoFilter ref="A1:M76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F20C-60D6-4778-B37D-AB1E33AF7F91}">
  <dimension ref="B3:D46"/>
  <sheetViews>
    <sheetView tabSelected="1" workbookViewId="0">
      <selection activeCell="J39" sqref="J39"/>
    </sheetView>
  </sheetViews>
  <sheetFormatPr defaultRowHeight="15" x14ac:dyDescent="0.25"/>
  <cols>
    <col min="2" max="2" width="29.28515625" customWidth="1"/>
  </cols>
  <sheetData>
    <row r="3" spans="2:2" ht="18.75" x14ac:dyDescent="0.25">
      <c r="B3" s="17" t="s">
        <v>192</v>
      </c>
    </row>
    <row r="4" spans="2:2" ht="18.75" x14ac:dyDescent="0.25">
      <c r="B4" s="17"/>
    </row>
    <row r="5" spans="2:2" ht="16.5" x14ac:dyDescent="0.25">
      <c r="B5" s="18" t="s">
        <v>193</v>
      </c>
    </row>
    <row r="6" spans="2:2" ht="15.75" x14ac:dyDescent="0.25">
      <c r="B6" s="19"/>
    </row>
    <row r="7" spans="2:2" ht="16.5" x14ac:dyDescent="0.25">
      <c r="B7" s="20" t="s">
        <v>194</v>
      </c>
    </row>
    <row r="8" spans="2:2" ht="16.5" x14ac:dyDescent="0.25">
      <c r="B8" s="18" t="s">
        <v>195</v>
      </c>
    </row>
    <row r="9" spans="2:2" ht="16.5" x14ac:dyDescent="0.25">
      <c r="B9" s="20" t="s">
        <v>196</v>
      </c>
    </row>
    <row r="10" spans="2:2" ht="16.5" x14ac:dyDescent="0.25">
      <c r="B10" s="20" t="s">
        <v>197</v>
      </c>
    </row>
    <row r="11" spans="2:2" ht="16.5" x14ac:dyDescent="0.25">
      <c r="B11" s="20" t="s">
        <v>198</v>
      </c>
    </row>
    <row r="12" spans="2:2" ht="16.5" x14ac:dyDescent="0.25">
      <c r="B12" s="21" t="s">
        <v>199</v>
      </c>
    </row>
    <row r="13" spans="2:2" ht="16.5" x14ac:dyDescent="0.25">
      <c r="B13" s="20" t="s">
        <v>200</v>
      </c>
    </row>
    <row r="14" spans="2:2" ht="16.5" x14ac:dyDescent="0.25">
      <c r="B14" s="20" t="s">
        <v>201</v>
      </c>
    </row>
    <row r="15" spans="2:2" ht="16.5" x14ac:dyDescent="0.25">
      <c r="B15" s="20" t="s">
        <v>202</v>
      </c>
    </row>
    <row r="16" spans="2:2" ht="16.5" x14ac:dyDescent="0.25">
      <c r="B16" s="21" t="s">
        <v>203</v>
      </c>
    </row>
    <row r="17" spans="2:3" ht="16.5" x14ac:dyDescent="0.25">
      <c r="B17" s="20" t="s">
        <v>204</v>
      </c>
    </row>
    <row r="18" spans="2:3" ht="17.25" x14ac:dyDescent="0.25">
      <c r="B18" s="22" t="s">
        <v>205</v>
      </c>
    </row>
    <row r="19" spans="2:3" x14ac:dyDescent="0.25">
      <c r="B19" s="23"/>
    </row>
    <row r="21" spans="2:3" x14ac:dyDescent="0.25">
      <c r="B21" t="s">
        <v>206</v>
      </c>
    </row>
    <row r="23" spans="2:3" x14ac:dyDescent="0.25">
      <c r="B23" s="24" t="s">
        <v>207</v>
      </c>
    </row>
    <row r="24" spans="2:3" x14ac:dyDescent="0.25">
      <c r="B24" s="24"/>
    </row>
    <row r="25" spans="2:3" x14ac:dyDescent="0.25">
      <c r="B25" s="24" t="s">
        <v>0</v>
      </c>
      <c r="C25" t="s">
        <v>208</v>
      </c>
    </row>
    <row r="26" spans="2:3" x14ac:dyDescent="0.25">
      <c r="B26" s="24" t="s">
        <v>1</v>
      </c>
      <c r="C26" t="s">
        <v>209</v>
      </c>
    </row>
    <row r="27" spans="2:3" x14ac:dyDescent="0.25">
      <c r="B27" t="s">
        <v>2</v>
      </c>
      <c r="C27" t="s">
        <v>210</v>
      </c>
    </row>
    <row r="28" spans="2:3" x14ac:dyDescent="0.25">
      <c r="B28" t="s">
        <v>3</v>
      </c>
      <c r="C28" t="s">
        <v>211</v>
      </c>
    </row>
    <row r="29" spans="2:3" x14ac:dyDescent="0.25">
      <c r="B29" t="s">
        <v>4</v>
      </c>
      <c r="C29" t="s">
        <v>212</v>
      </c>
    </row>
    <row r="32" spans="2:3" x14ac:dyDescent="0.25">
      <c r="B32" s="24" t="s">
        <v>213</v>
      </c>
    </row>
    <row r="34" spans="2:4" x14ac:dyDescent="0.25">
      <c r="B34" t="s">
        <v>0</v>
      </c>
      <c r="C34" t="s">
        <v>214</v>
      </c>
    </row>
    <row r="35" spans="2:4" x14ac:dyDescent="0.25">
      <c r="B35" t="s">
        <v>9</v>
      </c>
      <c r="C35" t="s">
        <v>211</v>
      </c>
      <c r="D35" t="s">
        <v>215</v>
      </c>
    </row>
    <row r="36" spans="2:4" x14ac:dyDescent="0.25">
      <c r="B36" t="s">
        <v>10</v>
      </c>
      <c r="C36" t="s">
        <v>216</v>
      </c>
    </row>
    <row r="37" spans="2:4" x14ac:dyDescent="0.25">
      <c r="B37" t="s">
        <v>11</v>
      </c>
      <c r="C37" t="s">
        <v>217</v>
      </c>
    </row>
    <row r="38" spans="2:4" x14ac:dyDescent="0.25">
      <c r="B38" t="s">
        <v>12</v>
      </c>
      <c r="C38" t="s">
        <v>218</v>
      </c>
    </row>
    <row r="39" spans="2:4" x14ac:dyDescent="0.25">
      <c r="B39" t="s">
        <v>13</v>
      </c>
      <c r="C39" t="s">
        <v>219</v>
      </c>
    </row>
    <row r="40" spans="2:4" x14ac:dyDescent="0.25">
      <c r="B40" t="s">
        <v>14</v>
      </c>
      <c r="C40" t="s">
        <v>220</v>
      </c>
    </row>
    <row r="41" spans="2:4" x14ac:dyDescent="0.25">
      <c r="B41" t="s">
        <v>15</v>
      </c>
      <c r="C41" t="s">
        <v>221</v>
      </c>
    </row>
    <row r="42" spans="2:4" x14ac:dyDescent="0.25">
      <c r="B42" t="s">
        <v>16</v>
      </c>
      <c r="C42" t="s">
        <v>222</v>
      </c>
    </row>
    <row r="43" spans="2:4" x14ac:dyDescent="0.25">
      <c r="B43" t="s">
        <v>17</v>
      </c>
      <c r="C43" t="s">
        <v>223</v>
      </c>
    </row>
    <row r="44" spans="2:4" x14ac:dyDescent="0.25">
      <c r="B44" t="s">
        <v>18</v>
      </c>
      <c r="C44" t="s">
        <v>224</v>
      </c>
    </row>
    <row r="45" spans="2:4" x14ac:dyDescent="0.25">
      <c r="B45" t="s">
        <v>19</v>
      </c>
      <c r="C45" t="s">
        <v>225</v>
      </c>
    </row>
    <row r="46" spans="2:4" x14ac:dyDescent="0.25">
      <c r="B46" t="s">
        <v>4</v>
      </c>
      <c r="C46" t="s">
        <v>212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8C87D38434D544A9416DA1AE9C1217" ma:contentTypeVersion="3" ma:contentTypeDescription="Vytvoří nový dokument" ma:contentTypeScope="" ma:versionID="ee7ee50cfba00ac06777ad9480b5aa35">
  <xsd:schema xmlns:xsd="http://www.w3.org/2001/XMLSchema" xmlns:xs="http://www.w3.org/2001/XMLSchema" xmlns:p="http://schemas.microsoft.com/office/2006/metadata/properties" xmlns:ns2="552a4e32-e292-4e84-b79f-aefc699ca0de" targetNamespace="http://schemas.microsoft.com/office/2006/metadata/properties" ma:root="true" ma:fieldsID="847c12b9f1d07d1711c7e51ed32689d2" ns2:_="">
    <xsd:import namespace="552a4e32-e292-4e84-b79f-aefc699ca0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a4e32-e292-4e84-b79f-aefc699ca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1C31B-FEA8-48E5-8044-B03A14F316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88C6B4-595B-49EB-BB0C-4EE3D841E4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EB976B-F49F-493F-82DD-B59D3053D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a4e32-e292-4e84-b79f-aefc699ca0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PbkModelInstances</vt:lpstr>
      <vt:lpstr>PbkModelInstanceParameters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Jiří Kalina</dc:creator>
  <cp:keywords/>
  <dc:description/>
  <cp:lastModifiedBy>Jiří Kalina</cp:lastModifiedBy>
  <cp:revision/>
  <dcterms:created xsi:type="dcterms:W3CDTF">2025-05-25T15:44:33Z</dcterms:created>
  <dcterms:modified xsi:type="dcterms:W3CDTF">2026-07-31T18:31:55Z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0x010100AC8C87D38434D544A9416DA1AE9C1217</vt:lpwstr>
  </property>
</Properties>
</file>
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irka\Environment\PARC\WP7\Task7.3\Task 7.3.2\Complete_reverse_modelling_jan_2026\Model version for production\"/>
    </mc:Choice>
  </mc:AlternateContent>
  <xr:revisionPtr revIDLastSave="0" documentId="13_ncr:2001_{97E6C55D-CFF7-40CA-A0C1-8E4EAB3076EC}" xr6:coauthVersionLast="47" xr6:coauthVersionMax="47" xr10:uidLastSave="{00000000-0000-0000-0000-000000000000}"/>
  <bookViews>
    <workbookView xWindow="-120" yWindow="-120" windowWidth="29040" windowHeight="15540" activeTab="1" xr2:uid="{00000000-000D-0000-FFFF-FFFF00000000}"/>
  </bookViews>
  <sheets>
    <sheet name="PbkModelInstances" sheetId="1" r:id="rId1"/>
    <sheet name="PbkModelInstanceParameters" sheetId="2" r:id="rId2"/>
  </sheets>
  <definedNames>
    <definedName name="_xlnm._FilterDatabase" localSheetId="1" hidden="1">PbkModelInstanceParameters!$A$1:$M$76</definedName>
    <definedName name="_xlnm._FilterDatabase" localSheetId="0" hidden="1">PbkModelInstances!$A$1:$E$1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2" l="1"/>
  <c r="I50" i="2"/>
  <c r="K51" i="2"/>
  <c r="J51" i="2"/>
  <c r="I51" i="2"/>
  <c r="H51" i="2" l="1"/>
  <c r="H48" i="2"/>
  <c r="H50" i="2"/>
</calcChain>
</file>

<file path=xl/sharedStrings.xml><?xml version="1.0" encoding="utf-8"?>
<sst xmlns="http://schemas.openxmlformats.org/spreadsheetml/2006/main" count="295" uniqueCount="153">
  <si>
    <t>idModelInstance</t>
  </si>
  <si>
    <t>idModelDefinition</t>
  </si>
  <si>
    <t>Species</t>
  </si>
  <si>
    <t>Substances</t>
  </si>
  <si>
    <t>Reference</t>
  </si>
  <si>
    <t>PFOA_Human_PARC_CS_Unc</t>
  </si>
  <si>
    <t>PBK_PFAS</t>
  </si>
  <si>
    <t>Human</t>
  </si>
  <si>
    <t>PFOA</t>
  </si>
  <si>
    <t>PFOS_Human_PARC_CS_Unc</t>
  </si>
  <si>
    <t>PFOS</t>
  </si>
  <si>
    <t>PFHxS_Human_PARC_CS_Unc</t>
  </si>
  <si>
    <t>PFHxS</t>
  </si>
  <si>
    <t>PFNA_Human_PARC_CS_Unc</t>
  </si>
  <si>
    <t>PFNA</t>
  </si>
  <si>
    <t>Parameter</t>
  </si>
  <si>
    <t>Value</t>
  </si>
  <si>
    <t>Unit</t>
  </si>
  <si>
    <t>DistributionType</t>
  </si>
  <si>
    <t>Description</t>
  </si>
  <si>
    <t>BW</t>
  </si>
  <si>
    <t>kg</t>
  </si>
  <si>
    <t>body weight</t>
  </si>
  <si>
    <t>dimensionless</t>
  </si>
  <si>
    <t>QfilC</t>
  </si>
  <si>
    <t>fraction of kidney plasma flow to filtrate</t>
  </si>
  <si>
    <t>L/kg</t>
  </si>
  <si>
    <t>fraction plasma volume</t>
  </si>
  <si>
    <t>Htc</t>
  </si>
  <si>
    <t>hematocrit</t>
  </si>
  <si>
    <t>SkinThickness</t>
  </si>
  <si>
    <t>cm</t>
  </si>
  <si>
    <t>skin thickness</t>
  </si>
  <si>
    <t>MW</t>
  </si>
  <si>
    <t>g/mol</t>
  </si>
  <si>
    <t>molar weight</t>
  </si>
  <si>
    <t>logP</t>
  </si>
  <si>
    <t>VP</t>
  </si>
  <si>
    <t>kg/m/s^2</t>
  </si>
  <si>
    <t>vapor pressure</t>
  </si>
  <si>
    <t>Tmc</t>
  </si>
  <si>
    <t>ug/d/kg^0.75</t>
  </si>
  <si>
    <t>Kt</t>
  </si>
  <si>
    <t>ug/L</t>
  </si>
  <si>
    <t>resorption affinity</t>
  </si>
  <si>
    <t>kurinec</t>
  </si>
  <si>
    <t>/d.kg^0.25</t>
  </si>
  <si>
    <t>urinary elimination rate constant</t>
  </si>
  <si>
    <t>Free</t>
  </si>
  <si>
    <t>free fraction in plasma</t>
  </si>
  <si>
    <t>PL</t>
  </si>
  <si>
    <t>partition coefficient liver/plasma</t>
  </si>
  <si>
    <t>PF</t>
  </si>
  <si>
    <t>partition coefficient fat/plasma</t>
  </si>
  <si>
    <t>PK</t>
  </si>
  <si>
    <t>partition coefficient kidney/plasma</t>
  </si>
  <si>
    <t>PSk</t>
  </si>
  <si>
    <t>partition coefficient skin/plasma</t>
  </si>
  <si>
    <t>PR</t>
  </si>
  <si>
    <t>partition coefficient rest-of-body/plasma</t>
  </si>
  <si>
    <t>PG</t>
  </si>
  <si>
    <t>partition coefficient gut/plasma</t>
  </si>
  <si>
    <t>PLun</t>
  </si>
  <si>
    <t>Param1</t>
  </si>
  <si>
    <t>Param2</t>
  </si>
  <si>
    <t>Param3</t>
  </si>
  <si>
    <t>Param4</t>
  </si>
  <si>
    <t>Sex</t>
  </si>
  <si>
    <t>Compound</t>
  </si>
  <si>
    <t>age</t>
  </si>
  <si>
    <t>TSTART</t>
  </si>
  <si>
    <t>TSTOP</t>
  </si>
  <si>
    <t>DT</t>
  </si>
  <si>
    <t>exposure_duration</t>
  </si>
  <si>
    <t>age_start_occ_exp</t>
  </si>
  <si>
    <t>age_stop_occ_exp</t>
  </si>
  <si>
    <t>age_start_menstruation</t>
  </si>
  <si>
    <t>age_stop_menstruation</t>
  </si>
  <si>
    <t>BWbirth</t>
  </si>
  <si>
    <t>fss</t>
  </si>
  <si>
    <t>hsc</t>
  </si>
  <si>
    <t>hve</t>
  </si>
  <si>
    <t>ffatsc</t>
  </si>
  <si>
    <t>ffatve</t>
  </si>
  <si>
    <t>ffatepi</t>
  </si>
  <si>
    <t>ffatbl</t>
  </si>
  <si>
    <t>Kpcell</t>
  </si>
  <si>
    <t>Drinkrate</t>
  </si>
  <si>
    <t>Kpsc</t>
  </si>
  <si>
    <t>Kpve</t>
  </si>
  <si>
    <t>Oralexpo</t>
  </si>
  <si>
    <t>Drinkconc</t>
  </si>
  <si>
    <t>Cinh</t>
  </si>
  <si>
    <t>Cdermal</t>
  </si>
  <si>
    <t>CLfaeces</t>
  </si>
  <si>
    <t>maternal</t>
  </si>
  <si>
    <t>PT</t>
  </si>
  <si>
    <t>Ratio</t>
  </si>
  <si>
    <t>DECLINE</t>
  </si>
  <si>
    <t>Milkconsumption</t>
  </si>
  <si>
    <t>AGbirth</t>
  </si>
  <si>
    <t>ALbirth</t>
  </si>
  <si>
    <t>AFbirth</t>
  </si>
  <si>
    <t>AKbirth</t>
  </si>
  <si>
    <t>ALunbirth</t>
  </si>
  <si>
    <t>ASkbirth</t>
  </si>
  <si>
    <t>ARbirth</t>
  </si>
  <si>
    <t>Afilbirth</t>
  </si>
  <si>
    <t>Adelaybirth</t>
  </si>
  <si>
    <t>Aurinebirth</t>
  </si>
  <si>
    <t>year</t>
  </si>
  <si>
    <t>cm/h</t>
  </si>
  <si>
    <t>mL/kg/d</t>
  </si>
  <si>
    <t>const</t>
  </si>
  <si>
    <t>milk concentration/maternal serum concentration during breastfeeding, new add opinion 2020</t>
  </si>
  <si>
    <t>decline of concentration in milk was 7.7% per month, new add opinion 2020</t>
  </si>
  <si>
    <t>MFV</t>
  </si>
  <si>
    <t>L/d</t>
  </si>
  <si>
    <t>d</t>
  </si>
  <si>
    <t>L/kg/d</t>
  </si>
  <si>
    <t>Aartbirth</t>
  </si>
  <si>
    <t>Avenbirth</t>
  </si>
  <si>
    <t>lnorm</t>
  </si>
  <si>
    <t>trunclnorm</t>
  </si>
  <si>
    <t>norm</t>
  </si>
  <si>
    <t>truncnorm</t>
  </si>
  <si>
    <t>HR</t>
  </si>
  <si>
    <t>heart beat rate</t>
  </si>
  <si>
    <t>1/min</t>
  </si>
  <si>
    <t>SDLun</t>
  </si>
  <si>
    <t>SDK</t>
  </si>
  <si>
    <t>SDInt</t>
  </si>
  <si>
    <t>SDL</t>
  </si>
  <si>
    <t>SDSk</t>
  </si>
  <si>
    <t>SDAdi</t>
  </si>
  <si>
    <t>SDB</t>
  </si>
  <si>
    <t>added standard deviation of the weight of lungs (by Bosgra)</t>
  </si>
  <si>
    <t>added standard deviation of the weight of kidney (by Bosgra)</t>
  </si>
  <si>
    <t>added standard deviation of the weight of intestine (by Bosgra)</t>
  </si>
  <si>
    <t>added standard deviation of the weight of liver (by Bosgra)</t>
  </si>
  <si>
    <t>added standard deviation of the weight of skin (by Bosgra)</t>
  </si>
  <si>
    <t>added standard deviation of the weight of blood (by Bosgra)</t>
  </si>
  <si>
    <t>height</t>
  </si>
  <si>
    <t>Gender</t>
  </si>
  <si>
    <t>m</t>
  </si>
  <si>
    <t>F, M</t>
  </si>
  <si>
    <t>VplasC</t>
  </si>
  <si>
    <t>VartC</t>
  </si>
  <si>
    <t>fraction of arterial blood</t>
  </si>
  <si>
    <t>fraction of venous blood</t>
  </si>
  <si>
    <t>VvenC</t>
  </si>
  <si>
    <t>maximum resorption rate, Klára put 19032 what is wrong since she forget she forced me to have there logsd instead of sd :(</t>
  </si>
  <si>
    <t>partition coefficient lung/plasma, Klára put 1,21 what is wrong since she forget she forced me to have there logsd instead of sd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</si>
</sst>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"/>
    <numFmt numFmtId="166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sz val="11"/>
      <name val="Calibri"/>
      <family val="2"/>
      <charset val="238"/>
      <scheme val="minor"/>
    </font>
    <font>
      <sz val="11"/>
      <name val="Aptos Narrow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0" xfId="0" applyFont="1" applyFill="1"/>
    <xf numFmtId="0" fontId="4" fillId="0" borderId="0" xfId="0" applyFont="1" applyFill="1"/>
    <xf numFmtId="0" fontId="4" fillId="0" borderId="0" xfId="1" applyFont="1" applyFill="1" applyAlignment="1">
      <alignment horizontal="center" vertical="center"/>
    </xf>
    <xf numFmtId="0" fontId="3" fillId="0" borderId="0" xfId="0" applyFont="1" applyFill="1" applyAlignment="1">
      <alignment horizontal="right"/>
    </xf>
    <xf numFmtId="165" fontId="3" fillId="0" borderId="0" xfId="0" applyNumberFormat="1" applyFont="1" applyFill="1" applyAlignment="1">
      <alignment horizontal="right" vertical="center"/>
    </xf>
    <xf numFmtId="166" fontId="3" fillId="0" borderId="0" xfId="0" applyNumberFormat="1" applyFont="1" applyFill="1" applyAlignment="1">
      <alignment horizontal="right" vertical="center"/>
    </xf>
    <xf numFmtId="2" fontId="3" fillId="0" borderId="0" xfId="0" applyNumberFormat="1" applyFont="1" applyFill="1" applyAlignment="1">
      <alignment horizontal="right" vertical="center"/>
    </xf>
    <xf numFmtId="11" fontId="4" fillId="0" borderId="0" xfId="0" applyNumberFormat="1" applyFont="1" applyFill="1"/>
    <xf numFmtId="164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</cellXfs>
  <cellStyles count="2">
    <cellStyle name="Normální" xfId="0" builtinId="0"/>
    <cellStyle name="Normální_List1" xfId="1" xr:uid="{421EB85E-F71D-405F-B179-C2DD8208C2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A6" sqref="A6"/>
    </sheetView>
  </sheetViews>
  <sheetFormatPr defaultRowHeight="15" x14ac:dyDescent="0.25"/>
  <cols>
    <col min="1" max="1" width="27.42578125" bestFit="1" customWidth="1"/>
    <col min="2" max="2" width="20.140625" bestFit="1" customWidth="1"/>
    <col min="3" max="3" width="10" bestFit="1" customWidth="1"/>
    <col min="4" max="4" width="13.140625" bestFit="1" customWidth="1"/>
    <col min="5" max="5" width="1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</row>
    <row r="4" spans="1:5" x14ac:dyDescent="0.25">
      <c r="A4" t="s">
        <v>11</v>
      </c>
      <c r="B4" t="s">
        <v>6</v>
      </c>
      <c r="C4" t="s">
        <v>7</v>
      </c>
      <c r="D4" t="s">
        <v>12</v>
      </c>
    </row>
    <row r="5" spans="1:5" x14ac:dyDescent="0.25">
      <c r="A5" t="s">
        <v>13</v>
      </c>
      <c r="B5" t="s">
        <v>6</v>
      </c>
      <c r="C5" t="s">
        <v>7</v>
      </c>
      <c r="D5" t="s">
        <v>14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abSelected="1" zoomScaleNormal="100" workbookViewId="0">
      <selection activeCell="D26" sqref="D26"/>
    </sheetView>
  </sheetViews>
  <sheetFormatPr defaultRowHeight="15" x14ac:dyDescent="0.25"/>
  <cols>
    <col min="1" max="1" width="34.42578125" customWidth="1"/>
    <col min="2" max="2" width="13" bestFit="1" customWidth="1"/>
    <col min="3" max="3" width="7.28515625" bestFit="1" customWidth="1"/>
    <col min="4" max="4" width="22.5703125" bestFit="1" customWidth="1"/>
    <col min="5" max="5" width="8.42578125" bestFit="1" customWidth="1"/>
    <col min="6" max="6" width="14" bestFit="1" customWidth="1"/>
    <col min="7" max="7" width="18.28515625" bestFit="1" customWidth="1"/>
    <col min="8" max="11" width="16" customWidth="1"/>
    <col min="12" max="12" width="60.28515625" bestFit="1" customWidth="1"/>
    <col min="13" max="13" width="36.42578125" customWidth="1"/>
  </cols>
  <sheetData>
    <row r="1" spans="1:13" x14ac:dyDescent="0.25">
      <c r="A1" s="1" t="s">
        <v>0</v>
      </c>
      <c r="B1" s="1" t="s">
        <v>68</v>
      </c>
      <c r="C1" s="1" t="s">
        <v>67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19</v>
      </c>
      <c r="M1" s="1" t="s">
        <v>4</v>
      </c>
    </row>
    <row r="2" spans="1:13" s="2" customFormat="1" x14ac:dyDescent="0.25">
      <c r="D2" s="2" t="s">
        <v>69</v>
      </c>
      <c r="F2" s="2" t="s">
        <v>110</v>
      </c>
      <c r="G2" s="2" t="s">
        <v>113</v>
      </c>
    </row>
    <row r="3" spans="1:13" s="2" customFormat="1" x14ac:dyDescent="0.25">
      <c r="A3" s="2" t="s">
        <v>5</v>
      </c>
      <c r="D3" s="2" t="s">
        <v>20</v>
      </c>
      <c r="F3" s="2" t="s">
        <v>21</v>
      </c>
      <c r="G3" s="2" t="s">
        <v>113</v>
      </c>
      <c r="L3" s="2" t="s">
        <v>22</v>
      </c>
    </row>
    <row r="4" spans="1:13" s="2" customFormat="1" x14ac:dyDescent="0.25">
      <c r="D4" s="2" t="s">
        <v>142</v>
      </c>
      <c r="F4" s="2" t="s">
        <v>144</v>
      </c>
      <c r="G4" s="2" t="s">
        <v>113</v>
      </c>
    </row>
    <row r="5" spans="1:13" s="2" customFormat="1" x14ac:dyDescent="0.25">
      <c r="D5" s="2" t="s">
        <v>143</v>
      </c>
      <c r="G5" s="2" t="s">
        <v>113</v>
      </c>
      <c r="L5" s="2" t="s">
        <v>145</v>
      </c>
    </row>
    <row r="6" spans="1:13" s="2" customFormat="1" x14ac:dyDescent="0.25">
      <c r="D6" s="2" t="s">
        <v>70</v>
      </c>
      <c r="F6" s="2" t="s">
        <v>118</v>
      </c>
      <c r="G6" s="2" t="s">
        <v>113</v>
      </c>
      <c r="H6" s="2">
        <v>0</v>
      </c>
    </row>
    <row r="7" spans="1:13" s="2" customFormat="1" x14ac:dyDescent="0.25">
      <c r="D7" s="2" t="s">
        <v>71</v>
      </c>
      <c r="F7" s="2" t="s">
        <v>118</v>
      </c>
      <c r="G7" s="2" t="s">
        <v>113</v>
      </c>
      <c r="H7" s="2">
        <v>10950</v>
      </c>
    </row>
    <row r="8" spans="1:13" s="2" customFormat="1" x14ac:dyDescent="0.25">
      <c r="D8" s="2" t="s">
        <v>72</v>
      </c>
      <c r="F8" s="2" t="s">
        <v>118</v>
      </c>
      <c r="G8" s="2" t="s">
        <v>113</v>
      </c>
      <c r="H8" s="2">
        <v>1</v>
      </c>
    </row>
    <row r="9" spans="1:13" s="2" customFormat="1" x14ac:dyDescent="0.25">
      <c r="D9" s="2" t="s">
        <v>73</v>
      </c>
      <c r="F9" s="2" t="s">
        <v>118</v>
      </c>
      <c r="G9" s="2" t="s">
        <v>113</v>
      </c>
      <c r="H9" s="2">
        <v>10950</v>
      </c>
    </row>
    <row r="10" spans="1:13" s="2" customFormat="1" x14ac:dyDescent="0.25">
      <c r="D10" s="2" t="s">
        <v>74</v>
      </c>
      <c r="F10" s="2" t="s">
        <v>110</v>
      </c>
      <c r="G10" s="2" t="s">
        <v>113</v>
      </c>
      <c r="H10" s="2">
        <v>0</v>
      </c>
    </row>
    <row r="11" spans="1:13" s="2" customFormat="1" x14ac:dyDescent="0.25">
      <c r="D11" s="2" t="s">
        <v>75</v>
      </c>
      <c r="F11" s="2" t="s">
        <v>110</v>
      </c>
      <c r="G11" s="2" t="s">
        <v>113</v>
      </c>
      <c r="H11" s="2">
        <v>0</v>
      </c>
    </row>
    <row r="12" spans="1:13" s="2" customFormat="1" x14ac:dyDescent="0.25">
      <c r="D12" s="2" t="s">
        <v>76</v>
      </c>
      <c r="F12" s="2" t="s">
        <v>110</v>
      </c>
      <c r="G12" s="2" t="s">
        <v>113</v>
      </c>
      <c r="H12" s="2">
        <v>14</v>
      </c>
    </row>
    <row r="13" spans="1:13" s="2" customFormat="1" x14ac:dyDescent="0.25">
      <c r="D13" s="2" t="s">
        <v>77</v>
      </c>
      <c r="F13" s="2" t="s">
        <v>110</v>
      </c>
      <c r="G13" s="2" t="s">
        <v>113</v>
      </c>
      <c r="H13" s="2">
        <v>50</v>
      </c>
    </row>
    <row r="14" spans="1:13" s="2" customFormat="1" x14ac:dyDescent="0.25">
      <c r="D14" s="2" t="s">
        <v>78</v>
      </c>
      <c r="F14" s="2" t="s">
        <v>21</v>
      </c>
      <c r="G14" s="2" t="s">
        <v>113</v>
      </c>
      <c r="H14" s="2">
        <v>3.68</v>
      </c>
    </row>
    <row r="15" spans="1:13" s="2" customFormat="1" x14ac:dyDescent="0.25">
      <c r="D15" s="2" t="s">
        <v>116</v>
      </c>
      <c r="F15" s="2" t="s">
        <v>117</v>
      </c>
      <c r="G15" s="2" t="s">
        <v>124</v>
      </c>
      <c r="H15" s="3">
        <v>2.2889999999999998E-3</v>
      </c>
      <c r="I15" s="2">
        <v>5.5000000000000003E-4</v>
      </c>
    </row>
    <row r="16" spans="1:13" s="2" customFormat="1" x14ac:dyDescent="0.25">
      <c r="D16" s="2" t="s">
        <v>126</v>
      </c>
      <c r="F16" s="2" t="s">
        <v>128</v>
      </c>
      <c r="G16" s="2" t="s">
        <v>125</v>
      </c>
      <c r="H16" s="2">
        <v>80</v>
      </c>
      <c r="I16" s="2">
        <v>13.2</v>
      </c>
      <c r="J16" s="2">
        <v>60</v>
      </c>
      <c r="K16" s="2">
        <v>100</v>
      </c>
      <c r="L16" s="2" t="s">
        <v>127</v>
      </c>
    </row>
    <row r="17" spans="1:12" s="2" customFormat="1" x14ac:dyDescent="0.25">
      <c r="D17" s="2" t="s">
        <v>129</v>
      </c>
      <c r="F17" s="2" t="s">
        <v>21</v>
      </c>
      <c r="G17" s="2" t="s">
        <v>122</v>
      </c>
      <c r="H17" s="2">
        <v>1</v>
      </c>
      <c r="I17" s="2">
        <v>0.19500000000000001</v>
      </c>
      <c r="L17" s="2" t="s">
        <v>136</v>
      </c>
    </row>
    <row r="18" spans="1:12" s="2" customFormat="1" x14ac:dyDescent="0.25">
      <c r="D18" s="2" t="s">
        <v>130</v>
      </c>
      <c r="F18" s="2" t="s">
        <v>21</v>
      </c>
      <c r="G18" s="2" t="s">
        <v>122</v>
      </c>
      <c r="H18" s="2">
        <v>1</v>
      </c>
      <c r="I18" s="2">
        <v>0.14000000000000001</v>
      </c>
      <c r="L18" s="2" t="s">
        <v>137</v>
      </c>
    </row>
    <row r="19" spans="1:12" s="2" customFormat="1" x14ac:dyDescent="0.25">
      <c r="D19" s="2" t="s">
        <v>131</v>
      </c>
      <c r="F19" s="2" t="s">
        <v>21</v>
      </c>
      <c r="G19" s="2" t="s">
        <v>122</v>
      </c>
      <c r="H19" s="2">
        <v>1</v>
      </c>
      <c r="I19" s="2">
        <v>4.9000000000000002E-2</v>
      </c>
      <c r="L19" s="2" t="s">
        <v>138</v>
      </c>
    </row>
    <row r="20" spans="1:12" s="2" customFormat="1" x14ac:dyDescent="0.25">
      <c r="D20" s="2" t="s">
        <v>132</v>
      </c>
      <c r="F20" s="2" t="s">
        <v>21</v>
      </c>
      <c r="G20" s="2" t="s">
        <v>122</v>
      </c>
      <c r="H20" s="2">
        <v>1</v>
      </c>
      <c r="I20" s="2">
        <v>2.8000000000000001E-2</v>
      </c>
      <c r="L20" s="2" t="s">
        <v>139</v>
      </c>
    </row>
    <row r="21" spans="1:12" s="2" customFormat="1" x14ac:dyDescent="0.25">
      <c r="D21" s="2" t="s">
        <v>133</v>
      </c>
      <c r="F21" s="2" t="s">
        <v>21</v>
      </c>
      <c r="G21" s="2" t="s">
        <v>122</v>
      </c>
      <c r="H21" s="2">
        <v>1</v>
      </c>
      <c r="I21" s="2">
        <v>4.9000000000000002E-2</v>
      </c>
      <c r="L21" s="2" t="s">
        <v>140</v>
      </c>
    </row>
    <row r="22" spans="1:12" s="2" customFormat="1" x14ac:dyDescent="0.25">
      <c r="D22" s="2" t="s">
        <v>134</v>
      </c>
      <c r="F22" s="2" t="s">
        <v>21</v>
      </c>
      <c r="G22" s="2" t="s">
        <v>122</v>
      </c>
      <c r="H22" s="2">
        <v>1</v>
      </c>
      <c r="I22" s="2">
        <v>0</v>
      </c>
      <c r="L22" s="2" t="s">
        <v>136</v>
      </c>
    </row>
    <row r="23" spans="1:12" s="2" customFormat="1" x14ac:dyDescent="0.25">
      <c r="D23" s="2" t="s">
        <v>135</v>
      </c>
      <c r="F23" s="2" t="s">
        <v>21</v>
      </c>
      <c r="G23" s="2" t="s">
        <v>122</v>
      </c>
      <c r="H23" s="2">
        <v>1</v>
      </c>
      <c r="I23" s="2">
        <v>0.1</v>
      </c>
      <c r="L23" s="2" t="s">
        <v>141</v>
      </c>
    </row>
    <row r="24" spans="1:12" s="2" customFormat="1" x14ac:dyDescent="0.25">
      <c r="A24" s="2" t="s">
        <v>5</v>
      </c>
      <c r="D24" s="2" t="s">
        <v>24</v>
      </c>
      <c r="F24" s="2" t="s">
        <v>23</v>
      </c>
      <c r="G24" s="2" t="s">
        <v>113</v>
      </c>
      <c r="H24" s="2">
        <v>0.2</v>
      </c>
      <c r="L24" s="2" t="s">
        <v>25</v>
      </c>
    </row>
    <row r="25" spans="1:12" s="2" customFormat="1" x14ac:dyDescent="0.25">
      <c r="D25" s="2" t="s">
        <v>28</v>
      </c>
      <c r="F25" s="2" t="s">
        <v>23</v>
      </c>
      <c r="G25" s="2" t="s">
        <v>113</v>
      </c>
      <c r="H25" s="2">
        <v>0.44</v>
      </c>
      <c r="L25" s="2" t="s">
        <v>29</v>
      </c>
    </row>
    <row r="26" spans="1:12" s="2" customFormat="1" x14ac:dyDescent="0.25">
      <c r="A26" s="2" t="s">
        <v>5</v>
      </c>
      <c r="B26" s="2" t="s">
        <v>8</v>
      </c>
      <c r="D26" s="2" t="s">
        <v>146</v>
      </c>
      <c r="F26" s="2" t="s">
        <v>26</v>
      </c>
      <c r="G26" s="2" t="s">
        <v>113</v>
      </c>
      <c r="H26" s="2">
        <v>4.2799999999999998E-2</v>
      </c>
      <c r="L26" s="2" t="s">
        <v>27</v>
      </c>
    </row>
    <row r="27" spans="1:12" s="2" customFormat="1" x14ac:dyDescent="0.25">
      <c r="D27" s="2" t="s">
        <v>147</v>
      </c>
      <c r="F27" s="2">
        <v>1</v>
      </c>
      <c r="G27" s="2" t="s">
        <v>113</v>
      </c>
      <c r="H27" s="2">
        <v>0.39</v>
      </c>
      <c r="L27" s="2" t="s">
        <v>148</v>
      </c>
    </row>
    <row r="28" spans="1:12" s="2" customFormat="1" x14ac:dyDescent="0.25">
      <c r="D28" s="2" t="s">
        <v>150</v>
      </c>
      <c r="F28" s="2">
        <v>1</v>
      </c>
      <c r="G28" s="2" t="s">
        <v>113</v>
      </c>
      <c r="H28" s="2">
        <v>0.61</v>
      </c>
      <c r="L28" s="2" t="s">
        <v>149</v>
      </c>
    </row>
    <row r="29" spans="1:12" s="2" customFormat="1" x14ac:dyDescent="0.25">
      <c r="A29" s="2" t="s">
        <v>5</v>
      </c>
      <c r="B29" s="2" t="s">
        <v>8</v>
      </c>
      <c r="D29" s="2" t="s">
        <v>30</v>
      </c>
      <c r="F29" s="2" t="s">
        <v>31</v>
      </c>
      <c r="G29" s="2" t="s">
        <v>113</v>
      </c>
      <c r="H29" s="2">
        <v>0.1</v>
      </c>
      <c r="L29" s="2" t="s">
        <v>32</v>
      </c>
    </row>
    <row r="30" spans="1:12" s="2" customFormat="1" x14ac:dyDescent="0.25">
      <c r="D30" s="2" t="s">
        <v>79</v>
      </c>
      <c r="G30" s="2" t="s">
        <v>113</v>
      </c>
      <c r="H30" s="2">
        <v>5.0000000000000001E-3</v>
      </c>
    </row>
    <row r="31" spans="1:12" s="2" customFormat="1" x14ac:dyDescent="0.25">
      <c r="D31" s="2" t="s">
        <v>80</v>
      </c>
      <c r="G31" s="2" t="s">
        <v>113</v>
      </c>
      <c r="H31" s="2">
        <v>1.5E-3</v>
      </c>
    </row>
    <row r="32" spans="1:12" s="2" customFormat="1" x14ac:dyDescent="0.25">
      <c r="D32" s="2" t="s">
        <v>81</v>
      </c>
      <c r="G32" s="2" t="s">
        <v>113</v>
      </c>
      <c r="H32" s="2">
        <v>0.01</v>
      </c>
    </row>
    <row r="33" spans="1:12" s="2" customFormat="1" x14ac:dyDescent="0.25">
      <c r="D33" s="2" t="s">
        <v>82</v>
      </c>
      <c r="G33" s="2" t="s">
        <v>113</v>
      </c>
      <c r="H33" s="2">
        <v>0.05</v>
      </c>
    </row>
    <row r="34" spans="1:12" s="2" customFormat="1" x14ac:dyDescent="0.25">
      <c r="D34" s="2" t="s">
        <v>83</v>
      </c>
      <c r="G34" s="2" t="s">
        <v>113</v>
      </c>
      <c r="H34" s="2">
        <v>0.02</v>
      </c>
    </row>
    <row r="35" spans="1:12" s="2" customFormat="1" x14ac:dyDescent="0.25">
      <c r="D35" s="2" t="s">
        <v>84</v>
      </c>
      <c r="G35" s="2" t="s">
        <v>113</v>
      </c>
      <c r="H35" s="2">
        <v>0.02</v>
      </c>
    </row>
    <row r="36" spans="1:12" s="2" customFormat="1" x14ac:dyDescent="0.25">
      <c r="D36" s="2" t="s">
        <v>85</v>
      </c>
      <c r="G36" s="2" t="s">
        <v>113</v>
      </c>
      <c r="H36" s="2">
        <v>7.0000000000000001E-3</v>
      </c>
    </row>
    <row r="37" spans="1:12" s="2" customFormat="1" x14ac:dyDescent="0.25">
      <c r="D37" s="2" t="s">
        <v>86</v>
      </c>
      <c r="F37" s="2" t="s">
        <v>111</v>
      </c>
      <c r="G37" s="2" t="s">
        <v>113</v>
      </c>
      <c r="H37" s="2">
        <v>0.93</v>
      </c>
    </row>
    <row r="38" spans="1:12" s="2" customFormat="1" x14ac:dyDescent="0.25">
      <c r="D38" s="2" t="s">
        <v>87</v>
      </c>
      <c r="F38" s="2" t="s">
        <v>112</v>
      </c>
      <c r="G38" s="2" t="s">
        <v>113</v>
      </c>
      <c r="H38" s="2">
        <v>13</v>
      </c>
    </row>
    <row r="39" spans="1:12" s="2" customFormat="1" x14ac:dyDescent="0.25">
      <c r="A39" s="2" t="s">
        <v>5</v>
      </c>
      <c r="B39" s="2" t="s">
        <v>8</v>
      </c>
      <c r="D39" s="2" t="s">
        <v>33</v>
      </c>
      <c r="E39" s="2" t="s">
        <v>8</v>
      </c>
      <c r="F39" s="2" t="s">
        <v>34</v>
      </c>
      <c r="G39" s="2" t="s">
        <v>113</v>
      </c>
      <c r="H39" s="2">
        <v>414.07</v>
      </c>
      <c r="L39" s="2" t="s">
        <v>35</v>
      </c>
    </row>
    <row r="40" spans="1:12" s="2" customFormat="1" x14ac:dyDescent="0.25">
      <c r="A40" s="2" t="s">
        <v>5</v>
      </c>
      <c r="B40" s="2" t="s">
        <v>8</v>
      </c>
      <c r="D40" s="2" t="s">
        <v>36</v>
      </c>
      <c r="E40" s="2" t="s">
        <v>8</v>
      </c>
      <c r="F40" s="2" t="s">
        <v>23</v>
      </c>
      <c r="G40" s="2" t="s">
        <v>113</v>
      </c>
      <c r="H40" s="2">
        <v>4.8099999999999996</v>
      </c>
      <c r="L40" s="2" t="s">
        <v>36</v>
      </c>
    </row>
    <row r="41" spans="1:12" s="2" customFormat="1" x14ac:dyDescent="0.25">
      <c r="A41" s="2" t="s">
        <v>5</v>
      </c>
      <c r="B41" s="2" t="s">
        <v>8</v>
      </c>
      <c r="D41" s="2" t="s">
        <v>37</v>
      </c>
      <c r="E41" s="2" t="s">
        <v>8</v>
      </c>
      <c r="F41" s="2" t="s">
        <v>38</v>
      </c>
      <c r="G41" s="2" t="s">
        <v>113</v>
      </c>
      <c r="H41" s="2">
        <v>2.34</v>
      </c>
      <c r="L41" s="2" t="s">
        <v>39</v>
      </c>
    </row>
    <row r="42" spans="1:12" s="2" customFormat="1" x14ac:dyDescent="0.25">
      <c r="D42" s="2" t="s">
        <v>89</v>
      </c>
      <c r="G42" s="2" t="s">
        <v>113</v>
      </c>
      <c r="H42" s="2">
        <v>8.7999999999999998E-5</v>
      </c>
    </row>
    <row r="43" spans="1:12" s="2" customFormat="1" x14ac:dyDescent="0.25">
      <c r="D43" s="2" t="s">
        <v>88</v>
      </c>
      <c r="G43" s="2" t="s">
        <v>113</v>
      </c>
      <c r="H43" s="2">
        <v>8.7999999999999998E-5</v>
      </c>
    </row>
    <row r="44" spans="1:12" s="2" customFormat="1" x14ac:dyDescent="0.25">
      <c r="D44" s="2" t="s">
        <v>90</v>
      </c>
      <c r="G44" s="2" t="s">
        <v>113</v>
      </c>
      <c r="H44" s="2">
        <v>1.8699999999999999E-4</v>
      </c>
    </row>
    <row r="45" spans="1:12" s="2" customFormat="1" x14ac:dyDescent="0.25">
      <c r="D45" s="2" t="s">
        <v>91</v>
      </c>
      <c r="G45" s="2" t="s">
        <v>113</v>
      </c>
      <c r="H45" s="2">
        <v>0</v>
      </c>
    </row>
    <row r="46" spans="1:12" s="2" customFormat="1" x14ac:dyDescent="0.25">
      <c r="D46" s="2" t="s">
        <v>92</v>
      </c>
      <c r="G46" s="2" t="s">
        <v>113</v>
      </c>
      <c r="H46" s="2">
        <v>0</v>
      </c>
    </row>
    <row r="47" spans="1:12" s="2" customFormat="1" x14ac:dyDescent="0.25">
      <c r="D47" s="2" t="s">
        <v>93</v>
      </c>
      <c r="G47" s="2" t="s">
        <v>113</v>
      </c>
      <c r="H47" s="2">
        <v>0</v>
      </c>
    </row>
    <row r="48" spans="1:12" s="2" customFormat="1" x14ac:dyDescent="0.25">
      <c r="A48" s="2" t="s">
        <v>5</v>
      </c>
      <c r="B48" s="2" t="s">
        <v>8</v>
      </c>
      <c r="D48" s="2" t="s">
        <v>40</v>
      </c>
      <c r="F48" s="2" t="s">
        <v>41</v>
      </c>
      <c r="G48" s="2" t="s">
        <v>123</v>
      </c>
      <c r="H48" s="2">
        <f>6600*24</f>
        <v>158400</v>
      </c>
      <c r="I48" s="2">
        <v>9.8538770519827938</v>
      </c>
      <c r="J48" s="4">
        <v>42480</v>
      </c>
      <c r="K48" s="4">
        <v>312000</v>
      </c>
      <c r="L48" s="2" t="s">
        <v>151</v>
      </c>
    </row>
    <row r="49" spans="1:12" s="2" customFormat="1" x14ac:dyDescent="0.25">
      <c r="A49" s="2" t="s">
        <v>5</v>
      </c>
      <c r="B49" s="2" t="s">
        <v>8</v>
      </c>
      <c r="D49" s="2" t="s">
        <v>42</v>
      </c>
      <c r="F49" s="2" t="s">
        <v>43</v>
      </c>
      <c r="G49" s="2" t="s">
        <v>124</v>
      </c>
      <c r="H49" s="2">
        <v>55</v>
      </c>
      <c r="I49" s="2">
        <v>1.77</v>
      </c>
      <c r="L49" s="2" t="s">
        <v>44</v>
      </c>
    </row>
    <row r="50" spans="1:12" s="2" customFormat="1" x14ac:dyDescent="0.25">
      <c r="A50" s="2" t="s">
        <v>5</v>
      </c>
      <c r="B50" s="2" t="s">
        <v>8</v>
      </c>
      <c r="D50" s="2" t="s">
        <v>45</v>
      </c>
      <c r="F50" s="2" t="s">
        <v>46</v>
      </c>
      <c r="G50" s="2" t="s">
        <v>125</v>
      </c>
      <c r="H50" s="5">
        <f>0.05*24</f>
        <v>1.2000000000000002</v>
      </c>
      <c r="I50" s="6">
        <f>0.017*24</f>
        <v>0.40800000000000003</v>
      </c>
      <c r="J50" s="7">
        <f>0.0003*24</f>
        <v>7.1999999999999998E-3</v>
      </c>
      <c r="K50" s="8">
        <v>2.4239999999999999</v>
      </c>
      <c r="L50" s="2" t="s">
        <v>47</v>
      </c>
    </row>
    <row r="51" spans="1:12" s="2" customFormat="1" x14ac:dyDescent="0.25">
      <c r="D51" s="2" t="s">
        <v>94</v>
      </c>
      <c r="F51" s="2" t="s">
        <v>119</v>
      </c>
      <c r="G51" s="2" t="s">
        <v>125</v>
      </c>
      <c r="H51" s="9">
        <f>7.08333333333333E-07*24</f>
        <v>1.6999999999999993E-5</v>
      </c>
      <c r="I51" s="10">
        <f>6.1464486465505E-07*24</f>
        <v>1.4751476751721199E-5</v>
      </c>
      <c r="J51" s="10">
        <f>3.33333333333333E-07*24</f>
        <v>7.9999999999999912E-6</v>
      </c>
      <c r="K51" s="10">
        <f>1.70833333333333E-06*24</f>
        <v>4.0999999999999919E-5</v>
      </c>
    </row>
    <row r="52" spans="1:12" s="2" customFormat="1" x14ac:dyDescent="0.25">
      <c r="A52" s="2" t="s">
        <v>5</v>
      </c>
      <c r="B52" s="2" t="s">
        <v>8</v>
      </c>
      <c r="D52" s="2" t="s">
        <v>48</v>
      </c>
      <c r="F52" s="2" t="s">
        <v>23</v>
      </c>
      <c r="G52" s="2" t="s">
        <v>125</v>
      </c>
      <c r="H52" s="2">
        <v>0.02</v>
      </c>
      <c r="I52" s="2">
        <v>3.0000000000000001E-3</v>
      </c>
      <c r="J52" s="2">
        <v>1E-3</v>
      </c>
      <c r="K52" s="2">
        <v>6.0999999999999999E-2</v>
      </c>
      <c r="L52" s="2" t="s">
        <v>49</v>
      </c>
    </row>
    <row r="53" spans="1:12" s="2" customFormat="1" x14ac:dyDescent="0.25">
      <c r="A53" s="2" t="s">
        <v>5</v>
      </c>
      <c r="B53" s="2" t="s">
        <v>8</v>
      </c>
      <c r="D53" s="2" t="s">
        <v>50</v>
      </c>
      <c r="F53" s="2" t="s">
        <v>23</v>
      </c>
      <c r="G53" s="2" t="s">
        <v>122</v>
      </c>
      <c r="H53" s="2">
        <v>1.03</v>
      </c>
      <c r="I53" s="2">
        <v>0.61</v>
      </c>
      <c r="L53" s="2" t="s">
        <v>51</v>
      </c>
    </row>
    <row r="54" spans="1:12" s="2" customFormat="1" x14ac:dyDescent="0.25">
      <c r="A54" s="2" t="s">
        <v>5</v>
      </c>
      <c r="B54" s="2" t="s">
        <v>8</v>
      </c>
      <c r="D54" s="2" t="s">
        <v>52</v>
      </c>
      <c r="F54" s="2" t="s">
        <v>23</v>
      </c>
      <c r="G54" s="2" t="s">
        <v>122</v>
      </c>
      <c r="H54" s="2">
        <v>0.21</v>
      </c>
      <c r="I54" s="2">
        <v>0.09</v>
      </c>
      <c r="L54" s="2" t="s">
        <v>53</v>
      </c>
    </row>
    <row r="55" spans="1:12" s="2" customFormat="1" x14ac:dyDescent="0.25">
      <c r="A55" s="2" t="s">
        <v>5</v>
      </c>
      <c r="B55" s="2" t="s">
        <v>8</v>
      </c>
      <c r="D55" s="2" t="s">
        <v>54</v>
      </c>
      <c r="F55" s="2" t="s">
        <v>23</v>
      </c>
      <c r="G55" s="2" t="s">
        <v>122</v>
      </c>
      <c r="H55" s="2">
        <v>0.93</v>
      </c>
      <c r="I55" s="11">
        <v>0.17599999999999999</v>
      </c>
      <c r="L55" s="2" t="s">
        <v>55</v>
      </c>
    </row>
    <row r="56" spans="1:12" s="2" customFormat="1" x14ac:dyDescent="0.25">
      <c r="A56" s="2" t="s">
        <v>5</v>
      </c>
      <c r="B56" s="2" t="s">
        <v>8</v>
      </c>
      <c r="D56" s="2" t="s">
        <v>56</v>
      </c>
      <c r="F56" s="2" t="s">
        <v>23</v>
      </c>
      <c r="G56" s="2" t="s">
        <v>122</v>
      </c>
      <c r="H56" s="2">
        <v>0.13</v>
      </c>
      <c r="I56" s="2">
        <v>1.4E-2</v>
      </c>
      <c r="L56" s="2" t="s">
        <v>57</v>
      </c>
    </row>
    <row r="57" spans="1:12" s="2" customFormat="1" x14ac:dyDescent="0.25">
      <c r="A57" s="2" t="s">
        <v>5</v>
      </c>
      <c r="B57" s="2" t="s">
        <v>8</v>
      </c>
      <c r="D57" s="2" t="s">
        <v>58</v>
      </c>
      <c r="F57" s="2" t="s">
        <v>23</v>
      </c>
      <c r="G57" s="2" t="s">
        <v>122</v>
      </c>
      <c r="H57" s="2">
        <v>0.11</v>
      </c>
      <c r="I57" s="2">
        <v>0.03</v>
      </c>
      <c r="L57" s="2" t="s">
        <v>59</v>
      </c>
    </row>
    <row r="58" spans="1:12" s="2" customFormat="1" x14ac:dyDescent="0.25">
      <c r="A58" s="2" t="s">
        <v>5</v>
      </c>
      <c r="B58" s="2" t="s">
        <v>8</v>
      </c>
      <c r="D58" s="2" t="s">
        <v>60</v>
      </c>
      <c r="F58" s="2" t="s">
        <v>23</v>
      </c>
      <c r="G58" s="2" t="s">
        <v>122</v>
      </c>
      <c r="H58" s="2">
        <v>0.11</v>
      </c>
      <c r="I58" s="2">
        <v>0.05</v>
      </c>
      <c r="L58" s="2" t="s">
        <v>61</v>
      </c>
    </row>
    <row r="59" spans="1:12" s="2" customFormat="1" x14ac:dyDescent="0.25">
      <c r="A59" s="2" t="s">
        <v>5</v>
      </c>
      <c r="B59" s="2" t="s">
        <v>8</v>
      </c>
      <c r="D59" s="2" t="s">
        <v>62</v>
      </c>
      <c r="F59" s="2" t="s">
        <v>23</v>
      </c>
      <c r="G59" s="2" t="s">
        <v>123</v>
      </c>
      <c r="H59" s="2">
        <v>1.41</v>
      </c>
      <c r="I59" s="2">
        <v>0.1906203596086497</v>
      </c>
      <c r="J59" s="2">
        <v>0.18</v>
      </c>
      <c r="K59" s="2">
        <v>9.08</v>
      </c>
      <c r="L59" s="2" t="s">
        <v>152</v>
      </c>
    </row>
    <row r="60" spans="1:12" s="2" customFormat="1" x14ac:dyDescent="0.25">
      <c r="D60" s="2" t="s">
        <v>95</v>
      </c>
      <c r="G60" s="2" t="s">
        <v>113</v>
      </c>
      <c r="H60" s="2">
        <v>2</v>
      </c>
    </row>
    <row r="61" spans="1:12" s="2" customFormat="1" x14ac:dyDescent="0.25">
      <c r="D61" s="2" t="s">
        <v>96</v>
      </c>
      <c r="G61" s="2" t="s">
        <v>113</v>
      </c>
      <c r="H61" s="2">
        <v>0.74</v>
      </c>
    </row>
    <row r="62" spans="1:12" s="2" customFormat="1" x14ac:dyDescent="0.25">
      <c r="D62" s="2" t="s">
        <v>97</v>
      </c>
      <c r="G62" s="2" t="s">
        <v>113</v>
      </c>
      <c r="H62" s="2">
        <v>0.03</v>
      </c>
      <c r="L62" s="2" t="s">
        <v>114</v>
      </c>
    </row>
    <row r="63" spans="1:12" s="2" customFormat="1" x14ac:dyDescent="0.25">
      <c r="D63" s="2" t="s">
        <v>98</v>
      </c>
      <c r="G63" s="2" t="s">
        <v>113</v>
      </c>
      <c r="H63" s="2">
        <v>7.6999999999999999E-2</v>
      </c>
      <c r="L63" s="2" t="s">
        <v>115</v>
      </c>
    </row>
    <row r="64" spans="1:12" s="2" customFormat="1" x14ac:dyDescent="0.25">
      <c r="D64" s="2" t="s">
        <v>99</v>
      </c>
      <c r="G64" s="2" t="s">
        <v>113</v>
      </c>
      <c r="H64" s="2">
        <v>0.8</v>
      </c>
    </row>
    <row r="65" spans="4:8" s="2" customFormat="1" x14ac:dyDescent="0.25">
      <c r="D65" s="2" t="s">
        <v>120</v>
      </c>
      <c r="G65" s="2" t="s">
        <v>113</v>
      </c>
      <c r="H65" s="2">
        <v>0.39</v>
      </c>
    </row>
    <row r="66" spans="4:8" s="2" customFormat="1" x14ac:dyDescent="0.25">
      <c r="D66" s="2" t="s">
        <v>121</v>
      </c>
      <c r="G66" s="2" t="s">
        <v>113</v>
      </c>
      <c r="H66" s="2">
        <v>0.61</v>
      </c>
    </row>
    <row r="67" spans="4:8" s="2" customFormat="1" x14ac:dyDescent="0.25">
      <c r="D67" s="2" t="s">
        <v>100</v>
      </c>
      <c r="G67" s="2" t="s">
        <v>113</v>
      </c>
      <c r="H67" s="2">
        <v>0.99929853000000002</v>
      </c>
    </row>
    <row r="68" spans="4:8" s="2" customFormat="1" x14ac:dyDescent="0.25">
      <c r="D68" s="2" t="s">
        <v>101</v>
      </c>
      <c r="G68" s="2" t="s">
        <v>113</v>
      </c>
      <c r="H68" s="2">
        <v>66.836076399999996</v>
      </c>
    </row>
    <row r="69" spans="4:8" s="2" customFormat="1" x14ac:dyDescent="0.25">
      <c r="D69" s="2" t="s">
        <v>102</v>
      </c>
      <c r="G69" s="2" t="s">
        <v>113</v>
      </c>
      <c r="H69" s="2">
        <v>10.000151000000001</v>
      </c>
    </row>
    <row r="70" spans="4:8" s="2" customFormat="1" x14ac:dyDescent="0.25">
      <c r="D70" s="2" t="s">
        <v>103</v>
      </c>
      <c r="G70" s="2" t="s">
        <v>113</v>
      </c>
      <c r="H70" s="2">
        <v>5.8857574599999998</v>
      </c>
    </row>
    <row r="71" spans="4:8" s="2" customFormat="1" x14ac:dyDescent="0.25">
      <c r="D71" s="2" t="s">
        <v>104</v>
      </c>
      <c r="G71" s="2" t="s">
        <v>113</v>
      </c>
      <c r="H71" s="2">
        <v>4.5199999999999996</v>
      </c>
    </row>
    <row r="72" spans="4:8" s="2" customFormat="1" x14ac:dyDescent="0.25">
      <c r="D72" s="2" t="s">
        <v>105</v>
      </c>
      <c r="G72" s="2" t="s">
        <v>113</v>
      </c>
      <c r="H72" s="2">
        <v>3.39</v>
      </c>
    </row>
    <row r="73" spans="4:8" s="2" customFormat="1" x14ac:dyDescent="0.25">
      <c r="D73" s="2" t="s">
        <v>106</v>
      </c>
      <c r="G73" s="2" t="s">
        <v>113</v>
      </c>
      <c r="H73" s="2">
        <v>74.910879199999997</v>
      </c>
    </row>
    <row r="74" spans="4:8" s="2" customFormat="1" x14ac:dyDescent="0.25">
      <c r="D74" s="2" t="s">
        <v>107</v>
      </c>
      <c r="G74" s="2" t="s">
        <v>113</v>
      </c>
      <c r="H74" s="2">
        <v>2.0960600000000001E-5</v>
      </c>
    </row>
    <row r="75" spans="4:8" s="2" customFormat="1" x14ac:dyDescent="0.25">
      <c r="D75" s="2" t="s">
        <v>108</v>
      </c>
      <c r="G75" s="2" t="s">
        <v>113</v>
      </c>
      <c r="H75" s="2">
        <v>42.279107140000001</v>
      </c>
    </row>
    <row r="76" spans="4:8" s="2" customFormat="1" x14ac:dyDescent="0.25">
      <c r="D76" s="2" t="s">
        <v>109</v>
      </c>
      <c r="G76" s="2" t="s">
        <v>113</v>
      </c>
      <c r="H76" s="2">
        <v>769.13474940000003</v>
      </c>
    </row>
  </sheetData>
  <autoFilter ref="A1:M76" xr:uid="{00000000-0001-0000-01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8C87D38434D544A9416DA1AE9C1217" ma:contentTypeVersion="3" ma:contentTypeDescription="Vytvoří nový dokument" ma:contentTypeScope="" ma:versionID="ee7ee50cfba00ac06777ad9480b5aa35">
  <xsd:schema xmlns:xsd="http://www.w3.org/2001/XMLSchema" xmlns:xs="http://www.w3.org/2001/XMLSchema" xmlns:p="http://schemas.microsoft.com/office/2006/metadata/properties" xmlns:ns2="552a4e32-e292-4e84-b79f-aefc699ca0de" targetNamespace="http://schemas.microsoft.com/office/2006/metadata/properties" ma:root="true" ma:fieldsID="847c12b9f1d07d1711c7e51ed32689d2" ns2:_="">
    <xsd:import namespace="552a4e32-e292-4e84-b79f-aefc699ca0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a4e32-e292-4e84-b79f-aefc699ca0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88C6B4-595B-49EB-BB0C-4EE3D841E4E8}">
  <ds:schemaRefs>
    <ds:schemaRef ds:uri="http://schemas.microsoft.com/office/infopath/2007/PartnerControls"/>
    <ds:schemaRef ds:uri="552a4e32-e292-4e84-b79f-aefc699ca0de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DEB976B-F49F-493F-82DD-B59D3053D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a4e32-e292-4e84-b79f-aefc699ca0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21C31B-FEA8-48E5-8044-B03A14F316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1904f23-f0db-4cdc-96f7-390bd55fcee8}" enabled="0" method="" siteId="{11904f23-f0db-4cdc-96f7-390bd55fce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PbkModelInstances</vt:lpstr>
      <vt:lpstr>PbkModelInstanceParameters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Jiří Kalina</dc:creator>
  <cp:keywords/>
  <dc:description/>
  <cp:lastModifiedBy>Jiří Kalina</cp:lastModifiedBy>
  <cp:revision/>
  <dcterms:created xsi:type="dcterms:W3CDTF">2025-05-25T15:44:33Z</dcterms:created>
  <dcterms:modified xsi:type="dcterms:W3CDTF">2026-07-30T23:47:25Z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0x010100AC8C87D38434D544A9416DA1AE9C1217</vt:lpwstr>
  </property>
</Properties>
</file>